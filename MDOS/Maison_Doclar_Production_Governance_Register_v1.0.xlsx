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tables/table8.xml" ContentType="application/vnd.openxmlformats-officedocument.spreadsheetml.table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  <Override PartName="/xl/tables/table11.xml" ContentType="application/vnd.openxmlformats-officedocument.spreadsheetml.table+xml"/>
  <Override PartName="/xl/worksheets/sheet14.xml" ContentType="application/vnd.openxmlformats-officedocument.spreadsheetml.worksheet+xml"/>
  <Override PartName="/xl/tables/table12.xml" ContentType="application/vnd.openxmlformats-officedocument.spreadsheetml.table+xml"/>
  <Override PartName="/xl/worksheets/sheet1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6b1648850c0456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RT HERE" sheetId="1" r:id="Rab223ba67873410d"/>
    <x:sheet xmlns:r="http://schemas.openxmlformats.org/officeDocument/2006/relationships" name="DASHBOARD" sheetId="2" r:id="Reb5e95ad8bb64af1"/>
    <x:sheet xmlns:r="http://schemas.openxmlformats.org/officeDocument/2006/relationships" name="RELEASE CANDIDATES" sheetId="3" r:id="R38d85ccda6af462c"/>
    <x:sheet xmlns:r="http://schemas.openxmlformats.org/officeDocument/2006/relationships" name="GATES" sheetId="4" r:id="R337968f542c14292"/>
    <x:sheet xmlns:r="http://schemas.openxmlformats.org/officeDocument/2006/relationships" name="DECISIONS" sheetId="5" r:id="R1999166b14294173"/>
    <x:sheet xmlns:r="http://schemas.openxmlformats.org/officeDocument/2006/relationships" name="OPEN QUESTIONS" sheetId="6" r:id="Rafa969f52c5848dc"/>
    <x:sheet xmlns:r="http://schemas.openxmlformats.org/officeDocument/2006/relationships" name="DEFECTS" sheetId="7" r:id="R36abd5c739394bd8"/>
    <x:sheet xmlns:r="http://schemas.openxmlformats.org/officeDocument/2006/relationships" name="RISKS" sheetId="8" r:id="R0abc581aa34a4e8e"/>
    <x:sheet xmlns:r="http://schemas.openxmlformats.org/officeDocument/2006/relationships" name="APPROVALS" sheetId="9" r:id="Rddb56d66e7ac4d52"/>
    <x:sheet xmlns:r="http://schemas.openxmlformats.org/officeDocument/2006/relationships" name="EXCEPTIONS" sheetId="10" r:id="R16bed39b0f1f426b"/>
    <x:sheet xmlns:r="http://schemas.openxmlformats.org/officeDocument/2006/relationships" name="INCIDENTS" sheetId="11" r:id="R9c189f6010734091"/>
    <x:sheet xmlns:r="http://schemas.openxmlformats.org/officeDocument/2006/relationships" name="EVIDENCE" sheetId="12" r:id="Rc6ead2a2908644b5"/>
    <x:sheet xmlns:r="http://schemas.openxmlformats.org/officeDocument/2006/relationships" name="CHANGE CONTROL" sheetId="13" r:id="Ra9fb665bed6a49ba"/>
    <x:sheet xmlns:r="http://schemas.openxmlformats.org/officeDocument/2006/relationships" name="CEO RELEASES" sheetId="14" r:id="R159d40117699438c"/>
    <x:sheet xmlns:r="http://schemas.openxmlformats.org/officeDocument/2006/relationships" name="LOOKUPS" sheetId="15" r:id="Ra0c2602757a4471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0.0"/>
    <x:numFmt numFmtId="202" formatCode="0"/>
  </x:numFmts>
  <x:fonts count="8">
    <x:font>
      <x:sz val="11"/>
      <x:name val="Carlito"/>
    </x:font>
    <x:font>
      <x:b/>
      <x:sz val="20"/>
      <x:color rgb="FFFFFFFF"/>
      <x:name val="Carlito"/>
    </x:font>
    <x:font>
      <x:i/>
      <x:sz val="10"/>
      <x:color rgb="FF172033"/>
      <x:name val="Carlito"/>
    </x:font>
    <x:font>
      <x:b/>
      <x:sz val="10"/>
      <x:color rgb="FFFFFFFF"/>
      <x:name val="Carlito"/>
    </x:font>
    <x:font>
      <x:sz val="9"/>
      <x:color rgb="FF172033"/>
      <x:name val="Carlito"/>
    </x:font>
    <x:font>
      <x:b/>
      <x:sz val="11"/>
      <x:color rgb="FF10233F"/>
      <x:name val="Carlito"/>
    </x:font>
    <x:font>
      <x:b/>
      <x:sz val="18"/>
      <x:color rgb="FF10233F"/>
      <x:name val="Carlito"/>
    </x:font>
    <x:font>
      <x:i/>
      <x:sz val="11"/>
      <x:color rgb="FF172033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0233F"/>
      </x:patternFill>
    </x:fill>
    <x:fill>
      <x:patternFill patternType="solid">
        <x:fgColor rgb="FFF7F2E8"/>
      </x:patternFill>
    </x:fill>
    <x:fill>
      <x:patternFill patternType="solid">
        <x:fgColor rgb="FF183A63"/>
      </x:patternFill>
    </x:fill>
    <x:fill>
      <x:patternFill patternType="solid">
        <x:fgColor rgb="FFC9A45C"/>
      </x:patternFill>
    </x:fill>
    <x:fill>
      <x:patternFill patternType="solid">
        <x:fgColor rgb="FFF5F7FA"/>
      </x:patternFill>
    </x:fill>
  </x:fills>
  <x:borders count="16">
    <x:border/>
    <x:border>
      <x:bottom style="medium">
        <x:color rgb="FFC9A45C"/>
      </x:bottom>
    </x:border>
    <x:border>
      <x:bottom style="hair">
        <x:color rgb="FFD8DEE8"/>
      </x:bottom>
    </x:border>
    <x:border>
      <x:top style="hair">
        <x:color rgb="FFD8DEE8"/>
      </x:top>
      <x:bottom style="hair">
        <x:color rgb="FFD8DEE8"/>
      </x:bottom>
    </x:border>
    <x:border>
      <x:top style="hair">
        <x:color rgb="FFD8DEE8"/>
      </x:top>
    </x:border>
    <x:border>
      <x:left style="medium">
        <x:color rgb="FFC9A45C"/>
      </x:left>
      <x:right style="medium">
        <x:color rgb="FFC9A45C"/>
      </x:right>
      <x:top style="medium">
        <x:color rgb="FFC9A45C"/>
      </x:top>
      <x:bottom style="medium">
        <x:color rgb="FFC9A45C"/>
      </x:bottom>
    </x:border>
    <x:border>
      <x:left style="medium">
        <x:color rgb="FFC9A45C"/>
      </x:left>
      <x:top style="medium">
        <x:color rgb="FFC9A45C"/>
      </x:top>
    </x:border>
    <x:border>
      <x:top style="medium">
        <x:color rgb="FFC9A45C"/>
      </x:top>
    </x:border>
    <x:border>
      <x:right style="medium">
        <x:color rgb="FFC9A45C"/>
      </x:right>
      <x:top style="medium">
        <x:color rgb="FFC9A45C"/>
      </x:top>
    </x:border>
    <x:border>
      <x:left style="medium">
        <x:color rgb="FFC9A45C"/>
      </x:left>
    </x:border>
    <x:border>
      <x:right style="medium">
        <x:color rgb="FFC9A45C"/>
      </x:right>
    </x:border>
    <x:border>
      <x:left style="medium">
        <x:color rgb="FFC9A45C"/>
      </x:left>
      <x:bottom style="medium">
        <x:color rgb="FFC9A45C"/>
      </x:bottom>
    </x:border>
    <x:border>
      <x:right style="medium">
        <x:color rgb="FFC9A45C"/>
      </x:right>
      <x:bottom style="medium">
        <x:color rgb="FFC9A45C"/>
      </x:bottom>
    </x:border>
    <x:border>
      <x:bottom style="thin">
        <x:color rgb="FFD8DEE8"/>
      </x:bottom>
    </x:border>
    <x:border>
      <x:top style="thin">
        <x:color rgb="FFD8DEE8"/>
      </x:top>
      <x:bottom style="thin">
        <x:color rgb="FFD8DEE8"/>
      </x:bottom>
    </x:border>
    <x:border>
      <x:top style="thin">
        <x:color rgb="FFD8DEE8"/>
      </x:top>
    </x:border>
  </x:borders>
  <x:cellStyleXfs count="1">
    <x:xf numFmtId="0" fontId="0" fillId="0" borderId="0"/>
  </x:cellStyleXfs>
  <x:cellXfs count="6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vertical="top"/>
    </x:xf>
    <x:xf numFmtId="0" fontId="4" fillId="0" borderId="2" xfId="0" applyNumberFormat="1" applyFont="1" applyFill="1" applyBorder="1" applyAlignment="1">
      <x:alignment vertical="top"/>
    </x:xf>
    <x:xf numFmtId="0" fontId="4" fillId="0" borderId="3" xfId="0" applyNumberFormat="1" applyFont="1" applyFill="1" applyBorder="1" applyAlignment="1">
      <x:alignment vertical="top"/>
    </x:xf>
    <x:xf numFmtId="0" fontId="4" fillId="0" borderId="4" xfId="0" applyNumberFormat="1" applyFont="1" applyFill="1" applyBorder="1" applyAlignment="1">
      <x:alignment vertical="top"/>
    </x:xf>
    <x:xf numFmtId="0" fontId="4" fillId="0" borderId="2" xfId="0" applyNumberFormat="1" applyFont="1" applyFill="1" applyBorder="1" applyAlignment="1">
      <x:alignment vertical="top" wrapText="1"/>
    </x:xf>
    <x:xf numFmtId="0" fontId="4" fillId="0" borderId="3" xfId="0" applyNumberFormat="1" applyFont="1" applyFill="1" applyBorder="1" applyAlignment="1">
      <x:alignment vertical="top" wrapText="1"/>
    </x:xf>
    <x:xf numFmtId="0" fontId="4" fillId="0" borderId="4" xfId="0" applyNumberFormat="1" applyFont="1" applyFill="1" applyBorder="1" applyAlignment="1">
      <x:alignment vertical="top" wrapText="1"/>
    </x:xf>
    <x:xf numFmtId="200" fontId="4" fillId="0" borderId="2" xfId="0" applyNumberFormat="1" applyFont="1" applyFill="1" applyBorder="1" applyAlignment="1">
      <x:alignment vertical="top" wrapText="1"/>
    </x:xf>
    <x:xf numFmtId="200" fontId="4" fillId="0" borderId="3" xfId="0" applyNumberFormat="1" applyFont="1" applyFill="1" applyBorder="1" applyAlignment="1">
      <x:alignment vertical="top" wrapText="1"/>
    </x:xf>
    <x:xf numFmtId="200" fontId="4" fillId="0" borderId="4" xfId="0" applyNumberFormat="1" applyFont="1" applyFill="1" applyBorder="1" applyAlignment="1">
      <x:alignment vertical="top" wrapText="1"/>
    </x:xf>
    <x:xf numFmtId="201" fontId="4" fillId="0" borderId="2" xfId="0" applyNumberFormat="1" applyFont="1" applyFill="1" applyBorder="1" applyAlignment="1">
      <x:alignment vertical="top" wrapText="1"/>
    </x:xf>
    <x:xf numFmtId="201" fontId="4" fillId="0" borderId="3" xfId="0" applyNumberFormat="1" applyFont="1" applyFill="1" applyBorder="1" applyAlignment="1">
      <x:alignment vertical="top" wrapText="1"/>
    </x:xf>
    <x:xf numFmtId="201" fontId="4" fillId="0" borderId="4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3" borderId="0" xfId="0" applyNumberFormat="1" applyFont="1" applyFill="1" applyBorder="1"/>
    <x:xf numFmtId="0" fontId="5" fillId="3" borderId="5" xfId="0" applyNumberFormat="1" applyFont="1" applyFill="1" applyBorder="1"/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6" xfId="0" applyNumberFormat="1" applyFont="1" applyFill="1" applyBorder="1"/>
    <x:xf numFmtId="0" fontId="6" fillId="6" borderId="7" xfId="0" applyNumberFormat="1" applyFont="1" applyFill="1" applyBorder="1"/>
    <x:xf numFmtId="0" fontId="6" fillId="6" borderId="8" xfId="0" applyNumberFormat="1" applyFont="1" applyFill="1" applyBorder="1"/>
    <x:xf numFmtId="0" fontId="6" fillId="6" borderId="9" xfId="0" applyNumberFormat="1" applyFont="1" applyFill="1" applyBorder="1"/>
    <x:xf numFmtId="0" fontId="6" fillId="6" borderId="10" xfId="0" applyNumberFormat="1" applyFont="1" applyFill="1" applyBorder="1"/>
    <x:xf numFmtId="0" fontId="6" fillId="6" borderId="11" xfId="0" applyNumberFormat="1" applyFont="1" applyFill="1" applyBorder="1"/>
    <x:xf numFmtId="0" fontId="6" fillId="6" borderId="1" xfId="0" applyNumberFormat="1" applyFont="1" applyFill="1" applyBorder="1"/>
    <x:xf numFmtId="0" fontId="6" fillId="6" borderId="12" xfId="0" applyNumberFormat="1" applyFont="1" applyFill="1" applyBorder="1"/>
    <x:xf numFmtId="0" fontId="6" fillId="6" borderId="6" xfId="0" applyNumberFormat="1" applyFont="1" applyFill="1" applyBorder="1" applyAlignment="1">
      <x:alignment horizontal="center"/>
    </x:xf>
    <x:xf numFmtId="0" fontId="6" fillId="6" borderId="7" xfId="0" applyNumberFormat="1" applyFont="1" applyFill="1" applyBorder="1" applyAlignment="1">
      <x:alignment horizontal="center"/>
    </x:xf>
    <x:xf numFmtId="0" fontId="6" fillId="6" borderId="8" xfId="0" applyNumberFormat="1" applyFont="1" applyFill="1" applyBorder="1" applyAlignment="1">
      <x:alignment horizontal="center"/>
    </x:xf>
    <x:xf numFmtId="0" fontId="6" fillId="6" borderId="9" xfId="0" applyNumberFormat="1" applyFont="1" applyFill="1" applyBorder="1" applyAlignment="1">
      <x:alignment horizontal="center"/>
    </x:xf>
    <x:xf numFmtId="0" fontId="6" fillId="6" borderId="0" xfId="0" applyNumberFormat="1" applyFont="1" applyFill="1" applyBorder="1" applyAlignment="1">
      <x:alignment horizontal="center"/>
    </x:xf>
    <x:xf numFmtId="0" fontId="6" fillId="6" borderId="10" xfId="0" applyNumberFormat="1" applyFont="1" applyFill="1" applyBorder="1" applyAlignment="1">
      <x:alignment horizontal="center"/>
    </x:xf>
    <x:xf numFmtId="0" fontId="6" fillId="6" borderId="11" xfId="0" applyNumberFormat="1" applyFont="1" applyFill="1" applyBorder="1" applyAlignment="1">
      <x:alignment horizontal="center"/>
    </x:xf>
    <x:xf numFmtId="0" fontId="6" fillId="6" borderId="1" xfId="0" applyNumberFormat="1" applyFont="1" applyFill="1" applyBorder="1" applyAlignment="1">
      <x:alignment horizontal="center"/>
    </x:xf>
    <x:xf numFmtId="0" fontId="6" fillId="6" borderId="12" xfId="0" applyNumberFormat="1" applyFont="1" applyFill="1" applyBorder="1" applyAlignment="1">
      <x:alignment horizontal="center"/>
    </x:xf>
    <x:xf numFmtId="0" fontId="6" fillId="6" borderId="6" xfId="0" applyNumberFormat="1" applyFont="1" applyFill="1" applyBorder="1" applyAlignment="1">
      <x:alignment horizontal="center" vertical="center"/>
    </x:xf>
    <x:xf numFmtId="0" fontId="6" fillId="6" borderId="7" xfId="0" applyNumberFormat="1" applyFont="1" applyFill="1" applyBorder="1" applyAlignment="1">
      <x:alignment horizontal="center" vertical="center"/>
    </x:xf>
    <x:xf numFmtId="0" fontId="6" fillId="6" borderId="8" xfId="0" applyNumberFormat="1" applyFont="1" applyFill="1" applyBorder="1" applyAlignment="1">
      <x:alignment horizontal="center" vertical="center"/>
    </x:xf>
    <x:xf numFmtId="0" fontId="6" fillId="6" borderId="9" xfId="0" applyNumberFormat="1" applyFont="1" applyFill="1" applyBorder="1" applyAlignment="1">
      <x:alignment horizontal="center" vertical="center"/>
    </x:xf>
    <x:xf numFmtId="0" fontId="6" fillId="6" borderId="0" xfId="0" applyNumberFormat="1" applyFont="1" applyFill="1" applyBorder="1" applyAlignment="1">
      <x:alignment horizontal="center" vertical="center"/>
    </x:xf>
    <x:xf numFmtId="0" fontId="6" fillId="6" borderId="10" xfId="0" applyNumberFormat="1" applyFont="1" applyFill="1" applyBorder="1" applyAlignment="1">
      <x:alignment horizontal="center" vertical="center"/>
    </x:xf>
    <x:xf numFmtId="0" fontId="6" fillId="6" borderId="11" xfId="0" applyNumberFormat="1" applyFont="1" applyFill="1" applyBorder="1" applyAlignment="1">
      <x:alignment horizontal="center" vertical="center"/>
    </x:xf>
    <x:xf numFmtId="0" fontId="6" fillId="6" borderId="1" xfId="0" applyNumberFormat="1" applyFont="1" applyFill="1" applyBorder="1" applyAlignment="1">
      <x:alignment horizontal="center" vertical="center"/>
    </x:xf>
    <x:xf numFmtId="0" fontId="6" fillId="6" borderId="12" xfId="0" applyNumberFormat="1" applyFont="1" applyFill="1" applyBorder="1" applyAlignment="1">
      <x:alignment horizontal="center" vertical="center"/>
    </x:xf>
    <x:xf numFmtId="202" fontId="0" fillId="0" borderId="0" xfId="0" applyNumberFormat="1" applyFont="1" applyFill="1" applyBorder="1"/>
    <x:xf numFmtId="0" fontId="0" fillId="0" borderId="13" xfId="0" applyNumberFormat="1" applyFont="1" applyFill="1" applyBorder="1"/>
    <x:xf numFmtId="202" fontId="0" fillId="0" borderId="13" xfId="0" applyNumberFormat="1" applyFont="1" applyFill="1" applyBorder="1"/>
    <x:xf numFmtId="0" fontId="0" fillId="0" borderId="14" xfId="0" applyNumberFormat="1" applyFont="1" applyFill="1" applyBorder="1"/>
    <x:xf numFmtId="202" fontId="0" fillId="0" borderId="14" xfId="0" applyNumberFormat="1" applyFont="1" applyFill="1" applyBorder="1"/>
    <x:xf numFmtId="0" fontId="0" fillId="0" borderId="15" xfId="0" applyNumberFormat="1" applyFont="1" applyFill="1" applyBorder="1"/>
    <x:xf numFmtId="202" fontId="0" fillId="0" borderId="15" xfId="0" applyNumberFormat="1" applyFont="1" applyFill="1" applyBorder="1"/>
    <x:xf numFmtId="0" fontId="7" fillId="3" borderId="0" xfId="0" applyNumberFormat="1" applyFont="1" applyFill="1" applyBorder="1"/>
    <x:xf numFmtId="0" fontId="7" fillId="3" borderId="0" xfId="0" applyNumberFormat="1" applyFont="1" applyFill="1" applyBorder="1" applyAlignment="1">
      <x:alignment wrapText="1"/>
    </x:xf>
  </x:cellXfs>
  <x:cellStyles count="1">
    <x:cellStyle name="Normal" xfId="0"/>
  </x:cellStyles>
  <x:dxfs count="41"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3548a78e0d94c20" /><Relationship Type="http://schemas.openxmlformats.org/officeDocument/2006/relationships/theme" Target="/xl/theme/theme1.xml" Id="R4b2963ea93134a56" /><Relationship Type="http://schemas.openxmlformats.org/officeDocument/2006/relationships/sharedStrings" Target="/xl/sharedStrings.xml" Id="R76ff1c2fc48048e0" /><Relationship Type="http://schemas.openxmlformats.org/officeDocument/2006/relationships/worksheet" Target="/xl/worksheets/sheet1.xml" Id="Rab223ba67873410d" /><Relationship Type="http://schemas.openxmlformats.org/officeDocument/2006/relationships/worksheet" Target="/xl/worksheets/sheet2.xml" Id="Reb5e95ad8bb64af1" /><Relationship Type="http://schemas.openxmlformats.org/officeDocument/2006/relationships/worksheet" Target="/xl/worksheets/sheet3.xml" Id="R38d85ccda6af462c" /><Relationship Type="http://schemas.openxmlformats.org/officeDocument/2006/relationships/worksheet" Target="/xl/worksheets/sheet4.xml" Id="R337968f542c14292" /><Relationship Type="http://schemas.openxmlformats.org/officeDocument/2006/relationships/worksheet" Target="/xl/worksheets/sheet5.xml" Id="R1999166b14294173" /><Relationship Type="http://schemas.openxmlformats.org/officeDocument/2006/relationships/worksheet" Target="/xl/worksheets/sheet6.xml" Id="Rafa969f52c5848dc" /><Relationship Type="http://schemas.openxmlformats.org/officeDocument/2006/relationships/worksheet" Target="/xl/worksheets/sheet7.xml" Id="R36abd5c739394bd8" /><Relationship Type="http://schemas.openxmlformats.org/officeDocument/2006/relationships/worksheet" Target="/xl/worksheets/sheet8.xml" Id="R0abc581aa34a4e8e" /><Relationship Type="http://schemas.openxmlformats.org/officeDocument/2006/relationships/worksheet" Target="/xl/worksheets/sheet9.xml" Id="Rddb56d66e7ac4d52" /><Relationship Type="http://schemas.openxmlformats.org/officeDocument/2006/relationships/worksheet" Target="/xl/worksheets/sheet10.xml" Id="R16bed39b0f1f426b" /><Relationship Type="http://schemas.openxmlformats.org/officeDocument/2006/relationships/worksheet" Target="/xl/worksheets/sheet11.xml" Id="R9c189f6010734091" /><Relationship Type="http://schemas.openxmlformats.org/officeDocument/2006/relationships/worksheet" Target="/xl/worksheets/sheet12.xml" Id="Rc6ead2a2908644b5" /><Relationship Type="http://schemas.openxmlformats.org/officeDocument/2006/relationships/worksheet" Target="/xl/worksheets/sheet13.xml" Id="Ra9fb665bed6a49ba" /><Relationship Type="http://schemas.openxmlformats.org/officeDocument/2006/relationships/worksheet" Target="/xl/worksheets/sheet14.xml" Id="R159d40117699438c" /><Relationship Type="http://schemas.openxmlformats.org/officeDocument/2006/relationships/worksheet" Target="/xl/worksheets/sheet15.xml" Id="Ra0c2602757a44711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26c22f1e5e0c4490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Blocking Controls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Count</c:v>
          </c:tx>
          <c:cat>
            <c:strRef>
              <c:f>'DASHBOARD'!$F$5:$F$12</c:f>
              <c:strCache>
                <c:ptCount val="0"/>
              </c:strCache>
            </c:strRef>
          </c:cat>
          <c:val>
            <c:numRef>
              <c:f>'DASHBOARD'!$G$5:$G$12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8</xdr:col>
      <xdr:colOff>0</xdr:colOff>
      <xdr:row>3</xdr:row>
      <xdr:rowOff>0</xdr:rowOff>
    </xdr:from>
    <xdr:to>
      <xdr:col>14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6c22f1e5e0c4490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ReleaseCandidatesTable" displayName="ReleaseCandidatesTable" ref="A4:V204" headerRowCount="1" totalsRowCount="0" totalsRowShown="0">
  <x:autoFilter ref="A4:V204"/>
  <x:tableColumns count="22">
    <x:tableColumn id="1" name="Candidate ID*"/>
    <x:tableColumn id="2" name="Version*"/>
    <x:tableColumn id="3" name="Commit SHA*"/>
    <x:tableColumn id="4" name="Environment*"/>
    <x:tableColumn id="5" name="Created Date*"/>
    <x:tableColumn id="6" name="Owner*"/>
    <x:tableColumn id="7" name="Scope Summary*"/>
    <x:tableColumn id="8" name="Reconciled?*"/>
    <x:tableColumn id="9" name="Security Test*"/>
    <x:tableColumn id="10" name="Acceptance Test*"/>
    <x:tableColumn id="11" name="Migration Test*"/>
    <x:tableColumn id="12" name="Rollback Test*"/>
    <x:tableColumn id="13" name="Observability Ready*"/>
    <x:tableColumn id="14" name="Support Ready*"/>
    <x:tableColumn id="15" name="DR Ready*"/>
    <x:tableColumn id="16" name="Privacy Ready*"/>
    <x:tableColumn id="17" name="Required Approvals Complete?*"/>
    <x:tableColumn id="18" name="Deployment Status"/>
    <x:tableColumn id="19" name="Production Version"/>
    <x:tableColumn id="20" name="Deployed At"/>
    <x:tableColumn id="21" name="Deployment Record Link"/>
    <x:tableColumn id="22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GatesTable" displayName="GatesTable" ref="A4:N204" headerRowCount="1" totalsRowCount="0" totalsRowShown="0">
  <x:autoFilter ref="A4:N204"/>
  <x:tableColumns count="14">
    <x:tableColumn id="1" name="Gate Record ID*"/>
    <x:tableColumn id="2" name="Candidate ID*"/>
    <x:tableColumn id="3" name="Gate*"/>
    <x:tableColumn id="4" name="Gate Name*"/>
    <x:tableColumn id="5" name="Status*"/>
    <x:tableColumn id="6" name="Owner*"/>
    <x:tableColumn id="7" name="Reviewer*"/>
    <x:tableColumn id="8" name="Evidence ID(s)*"/>
    <x:tableColumn id="9" name="Reviewed Date"/>
    <x:tableColumn id="10" name="Exception ID"/>
    <x:tableColumn id="11" name="Findings / Conditions"/>
    <x:tableColumn id="12" name="Next Action"/>
    <x:tableColumn id="13" name="Due Date"/>
    <x:tableColumn id="14" name="Last Updated*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DecisionsTable" displayName="DecisionsTable" ref="A4:S204" headerRowCount="1" totalsRowCount="0" totalsRowShown="0">
  <x:autoFilter ref="A4:S204"/>
  <x:tableColumns count="19">
    <x:tableColumn id="1" name="Decision ID*"/>
    <x:tableColumn id="2" name="Scope Type*"/>
    <x:tableColumn id="3" name="Scope ID"/>
    <x:tableColumn id="4" name="Candidate ID"/>
    <x:tableColumn id="5" name="Title*"/>
    <x:tableColumn id="6" name="Decision*"/>
    <x:tableColumn id="7" name="Rationale*"/>
    <x:tableColumn id="8" name="Alternatives Considered"/>
    <x:tableColumn id="9" name="Consequences"/>
    <x:tableColumn id="10" name="Owner*"/>
    <x:tableColumn id="11" name="Decision Status*"/>
    <x:tableColumn id="12" name="Approver*"/>
    <x:tableColumn id="13" name="Decision Date"/>
    <x:tableColumn id="14" name="Effective Date"/>
    <x:tableColumn id="15" name="Supersedes ID"/>
    <x:tableColumn id="16" name="Evidence IDs"/>
    <x:tableColumn id="17" name="Review Date"/>
    <x:tableColumn id="18" name="Confidentiality*"/>
    <x:tableColumn id="19" name="Last Updated*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QuestionsTable" displayName="QuestionsTable" ref="A4:S204" headerRowCount="1" totalsRowCount="0" totalsRowShown="0">
  <x:autoFilter ref="A4:S204"/>
  <x:tableColumns count="19">
    <x:tableColumn id="1" name="Question ID*"/>
    <x:tableColumn id="2" name="Candidate ID"/>
    <x:tableColumn id="3" name="Scope Type*"/>
    <x:tableColumn id="4" name="Scope ID"/>
    <x:tableColumn id="5" name="Question*"/>
    <x:tableColumn id="6" name="Why It Matters*"/>
    <x:tableColumn id="7" name="Priority*"/>
    <x:tableColumn id="8" name="Owner*"/>
    <x:tableColumn id="9" name="Raised Date*"/>
    <x:tableColumn id="10" name="Due Date*"/>
    <x:tableColumn id="11" name="Status*"/>
    <x:tableColumn id="12" name="Blocking?*"/>
    <x:tableColumn id="13" name="Decision ID"/>
    <x:tableColumn id="14" name="Answer / Resolution"/>
    <x:tableColumn id="15" name="Resolved Date"/>
    <x:tableColumn id="16" name="Escalated To"/>
    <x:tableColumn id="17" name="Last Updated*"/>
    <x:tableColumn id="18" name="Age (days)"/>
    <x:tableColumn id="19" name="Overdue?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DefectsTable" displayName="DefectsTable" ref="A4:W204" headerRowCount="1" totalsRowCount="0" totalsRowShown="0">
  <x:autoFilter ref="A4:W204"/>
  <x:tableColumns count="23">
    <x:tableColumn id="1" name="Defect ID*"/>
    <x:tableColumn id="2" name="Event ID"/>
    <x:tableColumn id="3" name="Candidate ID*"/>
    <x:tableColumn id="4" name="Found In*"/>
    <x:tableColumn id="5" name="Title*"/>
    <x:tableColumn id="6" name="Severity*"/>
    <x:tableColumn id="7" name="Status*"/>
    <x:tableColumn id="8" name="Owner*"/>
    <x:tableColumn id="9" name="Found Date*"/>
    <x:tableColumn id="10" name="Due Date"/>
    <x:tableColumn id="11" name="Affected Capability*"/>
    <x:tableColumn id="12" name="Guest / Operational Impact"/>
    <x:tableColumn id="13" name="Reproduction Steps*"/>
    <x:tableColumn id="14" name="Expected Result*"/>
    <x:tableColumn id="15" name="Actual Result*"/>
    <x:tableColumn id="16" name="Fix Commit"/>
    <x:tableColumn id="17" name="Retest Evidence ID"/>
    <x:tableColumn id="18" name="Retest Result"/>
    <x:tableColumn id="19" name="Closed Date"/>
    <x:tableColumn id="20" name="Exception ID"/>
    <x:tableColumn id="21" name="Last Updated*"/>
    <x:tableColumn id="22" name="Age (days)"/>
    <x:tableColumn id="23" name="Overdue?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RisksTable" displayName="RisksTable" ref="A4:V204" headerRowCount="1" totalsRowCount="0" totalsRowShown="0">
  <x:autoFilter ref="A4:V204"/>
  <x:tableColumns count="22">
    <x:tableColumn id="1" name="Risk ID*"/>
    <x:tableColumn id="2" name="Candidate ID"/>
    <x:tableColumn id="3" name="Event ID"/>
    <x:tableColumn id="4" name="Scope Type*"/>
    <x:tableColumn id="5" name="Scope ID"/>
    <x:tableColumn id="6" name="Risk Statement*"/>
    <x:tableColumn id="7" name="Category*"/>
    <x:tableColumn id="8" name="Likelihood*"/>
    <x:tableColumn id="9" name="Impact*"/>
    <x:tableColumn id="10" name="Rating*"/>
    <x:tableColumn id="11" name="Owner*"/>
    <x:tableColumn id="12" name="Treatment*"/>
    <x:tableColumn id="13" name="Mitigation / Controls*"/>
    <x:tableColumn id="14" name="Trigger / Indicator"/>
    <x:tableColumn id="15" name="Residual Rating*"/>
    <x:tableColumn id="16" name="Status*"/>
    <x:tableColumn id="17" name="Review Date*"/>
    <x:tableColumn id="18" name="Decision ID"/>
    <x:tableColumn id="19" name="Exception ID"/>
    <x:tableColumn id="20" name="Evidence IDs"/>
    <x:tableColumn id="21" name="Last Updated*"/>
    <x:tableColumn id="22" name="Overdue Review?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ApprovalsTable" displayName="ApprovalsTable" ref="A4:V204" headerRowCount="1" totalsRowCount="0" totalsRowShown="0">
  <x:autoFilter ref="A4:V204"/>
  <x:tableColumns count="22">
    <x:tableColumn id="1" name="Approval ID*"/>
    <x:tableColumn id="2" name="Candidate ID"/>
    <x:tableColumn id="3" name="Event ID"/>
    <x:tableColumn id="4" name="Scope Type*"/>
    <x:tableColumn id="5" name="Scope ID"/>
    <x:tableColumn id="6" name="Approval Type*"/>
    <x:tableColumn id="7" name="Capability"/>
    <x:tableColumn id="8" name="Required?*"/>
    <x:tableColumn id="9" name="Status*"/>
    <x:tableColumn id="10" name="Approver Role*"/>
    <x:tableColumn id="11" name="Approver Name*"/>
    <x:tableColumn id="12" name="Requested Date*"/>
    <x:tableColumn id="13" name="Decision Date"/>
    <x:tableColumn id="14" name="Effective From"/>
    <x:tableColumn id="15" name="Expiry Date"/>
    <x:tableColumn id="16" name="Conditions"/>
    <x:tableColumn id="17" name="Evidence IDs*"/>
    <x:tableColumn id="18" name="Related Decision ID"/>
    <x:tableColumn id="19" name="Revoked Date"/>
    <x:tableColumn id="20" name="Revocation Reason"/>
    <x:tableColumn id="21" name="Last Updated*"/>
    <x:tableColumn id="22" name="Expired?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ExceptionsTable" displayName="ExceptionsTable" ref="A4:R204" headerRowCount="1" totalsRowCount="0" totalsRowShown="0">
  <x:autoFilter ref="A4:R204"/>
  <x:tableColumns count="18">
    <x:tableColumn id="1" name="Exception ID*"/>
    <x:tableColumn id="2" name="Candidate ID"/>
    <x:tableColumn id="3" name="Event ID"/>
    <x:tableColumn id="4" name="Control / Requirement*"/>
    <x:tableColumn id="5" name="Reason*"/>
    <x:tableColumn id="6" name="Risk ID*"/>
    <x:tableColumn id="7" name="Compensating Controls*"/>
    <x:tableColumn id="8" name="Status*"/>
    <x:tableColumn id="9" name="Owner*"/>
    <x:tableColumn id="10" name="Approver*"/>
    <x:tableColumn id="11" name="Requested Date*"/>
    <x:tableColumn id="12" name="Approved Date"/>
    <x:tableColumn id="13" name="Expiry Date*"/>
    <x:tableColumn id="14" name="Closure Evidence ID"/>
    <x:tableColumn id="15" name="Closed Date"/>
    <x:tableColumn id="16" name="Renewal Exception ID"/>
    <x:tableColumn id="17" name="Last Updated*"/>
    <x:tableColumn id="18" name="Expired Active?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IncidentsTable" displayName="IncidentsTable" ref="A4:X204" headerRowCount="1" totalsRowCount="0" totalsRowShown="0">
  <x:autoFilter ref="A4:X204"/>
  <x:tableColumns count="24">
    <x:tableColumn id="1" name="Incident ID*"/>
    <x:tableColumn id="2" name="Candidate ID"/>
    <x:tableColumn id="3" name="Event ID"/>
    <x:tableColumn id="4" name="Environment*"/>
    <x:tableColumn id="5" name="Severity*"/>
    <x:tableColumn id="6" name="Status*"/>
    <x:tableColumn id="7" name="Title*"/>
    <x:tableColumn id="8" name="Detected At*"/>
    <x:tableColumn id="9" name="Reported By*"/>
    <x:tableColumn id="10" name="Incident Commander*"/>
    <x:tableColumn id="11" name="Affected Capability*"/>
    <x:tableColumn id="12" name="Guest / Business Impact*"/>
    <x:tableColumn id="13" name="Containment"/>
    <x:tableColumn id="14" name="Root Cause"/>
    <x:tableColumn id="15" name="Recovery At"/>
    <x:tableColumn id="16" name="Communications Owner"/>
    <x:tableColumn id="17" name="Client Notified?"/>
    <x:tableColumn id="18" name="Regulator Review?"/>
    <x:tableColumn id="19" name="Post-Incident Review Date"/>
    <x:tableColumn id="20" name="Corrective Change IDs"/>
    <x:tableColumn id="21" name="Evidence IDs"/>
    <x:tableColumn id="22" name="Closed At"/>
    <x:tableColumn id="23" name="Last Updated*"/>
    <x:tableColumn id="24" name="Duration (hours)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EvidenceTable" displayName="EvidenceTable" ref="A4:U204" headerRowCount="1" totalsRowCount="0" totalsRowShown="0">
  <x:autoFilter ref="A4:U204"/>
  <x:tableColumns count="21">
    <x:tableColumn id="1" name="Evidence ID*"/>
    <x:tableColumn id="2" name="Candidate ID*"/>
    <x:tableColumn id="3" name="Event ID"/>
    <x:tableColumn id="4" name="Gate"/>
    <x:tableColumn id="5" name="Evidence Type*"/>
    <x:tableColumn id="6" name="Title*"/>
    <x:tableColumn id="7" name="Capability / Requirement*"/>
    <x:tableColumn id="8" name="Source / Tool*"/>
    <x:tableColumn id="9" name="Location / Link*"/>
    <x:tableColumn id="10" name="Captured At*"/>
    <x:tableColumn id="11" name="Submitted By*"/>
    <x:tableColumn id="12" name="Status*"/>
    <x:tableColumn id="13" name="Verified By"/>
    <x:tableColumn id="14" name="Verified At"/>
    <x:tableColumn id="15" name="Validity Ends"/>
    <x:tableColumn id="16" name="Contains Personal Data?*"/>
    <x:tableColumn id="17" name="Access Classification*"/>
    <x:tableColumn id="18" name="Related Record IDs"/>
    <x:tableColumn id="19" name="Notes"/>
    <x:tableColumn id="20" name="Last Updated*"/>
    <x:tableColumn id="21" name="Stale?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ChangesTable" displayName="ChangesTable" ref="A4:Y204" headerRowCount="1" totalsRowCount="0" totalsRowShown="0">
  <x:autoFilter ref="A4:Y204"/>
  <x:tableColumns count="25">
    <x:tableColumn id="1" name="Change ID*"/>
    <x:tableColumn id="2" name="Candidate ID"/>
    <x:tableColumn id="3" name="Event ID"/>
    <x:tableColumn id="4" name="Change Type*"/>
    <x:tableColumn id="5" name="Title*"/>
    <x:tableColumn id="6" name="Description*"/>
    <x:tableColumn id="7" name="Reason*"/>
    <x:tableColumn id="8" name="Requested By*"/>
    <x:tableColumn id="9" name="Owner*"/>
    <x:tableColumn id="10" name="Priority*"/>
    <x:tableColumn id="11" name="Risk Rating*"/>
    <x:tableColumn id="12" name="Affected Components*"/>
    <x:tableColumn id="13" name="Data Migration?*"/>
    <x:tableColumn id="14" name="Security / Privacy Impact?*"/>
    <x:tableColumn id="15" name="Operational Impact*"/>
    <x:tableColumn id="16" name="Planned Window"/>
    <x:tableColumn id="17" name="Rollback Plan*"/>
    <x:tableColumn id="18" name="Test Evidence IDs*"/>
    <x:tableColumn id="19" name="Approval IDs*"/>
    <x:tableColumn id="20" name="Status*"/>
    <x:tableColumn id="21" name="Deployed At"/>
    <x:tableColumn id="22" name="Deployment Result"/>
    <x:tableColumn id="23" name="Post-Change Review"/>
    <x:tableColumn id="24" name="Decision ID"/>
    <x:tableColumn id="25" name="Last Updated*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CEOReleasesTable" displayName="CEOReleasesTable" ref="A4:AC204" headerRowCount="1" totalsRowCount="0" totalsRowShown="0">
  <x:autoFilter ref="A4:AC204"/>
  <x:tableColumns count="29">
    <x:tableColumn id="1" name="CEO Release ID*"/>
    <x:tableColumn id="2" name="Candidate ID*"/>
    <x:tableColumn id="3" name="Decision*"/>
    <x:tableColumn id="4" name="Decision Date*"/>
    <x:tableColumn id="5" name="CEO Name*"/>
    <x:tableColumn id="6" name="Environment*"/>
    <x:tableColumn id="7" name="Client Scope*"/>
    <x:tableColumn id="8" name="Event Scope*"/>
    <x:tableColumn id="9" name="Region Scope*"/>
    <x:tableColumn id="10" name="Capabilities Authorised*"/>
    <x:tableColumn id="11" name="Capabilities Excluded*"/>
    <x:tableColumn id="12" name="AI Authorised?*"/>
    <x:tableColumn id="13" name="FaceGate / Biometrics Authorised?*"/>
    <x:tableColumn id="14" name="Cross-Event Intelligence Authorised?*"/>
    <x:tableColumn id="15" name="Conditions"/>
    <x:tableColumn id="16" name="Effective From*"/>
    <x:tableColumn id="17" name="Expiry Date"/>
    <x:tableColumn id="18" name="Rollback Owner*"/>
    <x:tableColumn id="19" name="Support Owner*"/>
    <x:tableColumn id="20" name="Incident Commander*"/>
    <x:tableColumn id="21" name="Approval IDs*"/>
    <x:tableColumn id="22" name="Evidence IDs*"/>
    <x:tableColumn id="23" name="Risk IDs"/>
    <x:tableColumn id="24" name="Exception IDs"/>
    <x:tableColumn id="25" name="Revoked Date"/>
    <x:tableColumn id="26" name="Revocation Reason"/>
    <x:tableColumn id="27" name="Production Version"/>
    <x:tableColumn id="28" name="Deployment Record"/>
    <x:tableColumn id="29" name="Last Updated*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c50816a86c1c46c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11c1c1f1e48b4c6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394e6326d2d34ed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3.xml" Id="Rbc78eca667da4a1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76efa9d54f214bc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ea616ee6dbf8402a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6e2b0dc9aade4d3a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7.xml" Id="R1c2becd5404040b2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8.xml" Id="Rbb24e093a45a4487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d3cdff69b0dd4a56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ba4a618cae4f4db8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1.xml" Id="R66396d8e0e354c79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2.xml" Id="Rd572d4e004794f7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</x:cols>
  <x:sheetData>
    <x:row r="1" ht="34" customHeight="1">
      <x:c r="A1" s="3" t="str">
        <x:v>MAISON DOCLAR — PRODUCTION GOVERNANCE REGISTER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 ht="28" customHeight="1">
      <x:c r="A2" s="7" t="str">
        <x:v>Version 1.0 | Canonical control record for build, acceptance, release and production operation</x:v>
      </x:c>
      <x:c r="B2" s="7"/>
      <x:c r="C2" s="7"/>
      <x:c r="D2" s="7"/>
      <x:c r="E2" s="7"/>
      <x:c r="F2" s="7"/>
      <x:c r="G2" s="7"/>
      <x:c r="H2" s="7"/>
      <x:c r="I2" s="7"/>
      <x:c r="J2" s="7"/>
    </x:row>
    <x:row r="4" ht="32" customHeight="1">
      <x:c r="A4" s="12" t="str">
        <x:v>PURPOSE</x:v>
      </x:c>
      <x:c r="B4" s="12"/>
      <x:c r="C4" s="12"/>
      <x:c r="D4" s="12"/>
      <x:c r="E4" s="12"/>
      <x:c r="F4" s="12"/>
      <x:c r="G4" s="12"/>
      <x:c r="H4" s="12"/>
      <x:c r="I4" s="12"/>
      <x:c r="J4" s="12"/>
    </x:row>
    <x:row r="5">
      <x:c r="A5" s="13" t="str">
        <x:v>Use this workbook to prove what was decided, tested, accepted, authorised, deployed and learned. It is the operational source of truth for production governance; it does not replace code, automated tests, monitoring or the Intelligence Specification.</x:v>
      </x:c>
      <x:c r="B5" s="13"/>
      <x:c r="C5" s="13"/>
      <x:c r="D5" s="13"/>
      <x:c r="E5" s="13"/>
      <x:c r="F5" s="13"/>
      <x:c r="G5" s="13"/>
      <x:c r="H5" s="13"/>
      <x:c r="I5" s="13"/>
      <x:c r="J5" s="13"/>
    </x:row>
    <x:row r="6">
      <x:c r="A6" s="13"/>
      <x:c r="B6" s="13"/>
      <x:c r="C6" s="13"/>
      <x:c r="D6" s="13"/>
      <x:c r="E6" s="13"/>
      <x:c r="F6" s="13"/>
      <x:c r="G6" s="13"/>
      <x:c r="H6" s="13"/>
      <x:c r="I6" s="13"/>
      <x:c r="J6" s="13"/>
    </x:row>
    <x:row r="7">
      <x:c r="A7" s="13"/>
      <x:c r="B7" s="13"/>
      <x:c r="C7" s="13"/>
      <x:c r="D7" s="13"/>
      <x:c r="E7" s="13"/>
      <x:c r="F7" s="13"/>
      <x:c r="G7" s="13"/>
      <x:c r="H7" s="13"/>
      <x:c r="I7" s="13"/>
      <x:c r="J7" s="13"/>
    </x:row>
    <x:row r="8" ht="32" customHeight="1">
      <x:c r="A8" s="12" t="str">
        <x:v>NON-NEGOTIABLE CONTROL LAWS</x:v>
      </x:c>
      <x:c r="B8" s="12"/>
      <x:c r="C8" s="12"/>
      <x:c r="D8" s="12"/>
      <x:c r="E8" s="13"/>
      <x:c r="F8" s="12" t="str">
        <x:v>HOW TO USE</x:v>
      </x:c>
      <x:c r="G8" s="12"/>
      <x:c r="H8" s="12"/>
      <x:c r="I8" s="12"/>
      <x:c r="J8" s="12"/>
    </x:row>
    <x:row r="9">
      <x:c r="A9" s="13" t="str">
        <x:v>1</x:v>
      </x:c>
      <x:c r="B9" s="13" t="str">
        <x:v>No candidate, no release</x:v>
      </x:c>
      <x:c r="C9" s="13" t="str">
        <x:v>Every deployment decision is tied to one immutable release candidate and commit.</x:v>
      </x:c>
      <x:c r="D9" s="13"/>
      <x:c r="E9" s="13"/>
      <x:c r="F9" s="13" t="str">
        <x:v>1. Create</x:v>
      </x:c>
      <x:c r="G9" s="13" t="str">
        <x:v>Add a RELEASE CANDIDATE before acceptance work begins.</x:v>
      </x:c>
      <x:c r="H9" s="13"/>
      <x:c r="I9" s="13"/>
      <x:c r="J9" s="13"/>
    </x:row>
    <x:row r="10">
      <x:c r="A10" s="13" t="str">
        <x:v>2</x:v>
      </x:c>
      <x:c r="B10" s="13" t="str">
        <x:v>Evidence before assertion</x:v>
      </x:c>
      <x:c r="C10" s="13" t="str">
        <x:v>A gate cannot pass without linked, reviewable evidence.</x:v>
      </x:c>
      <x:c r="D10" s="13"/>
      <x:c r="E10" s="13"/>
      <x:c r="F10" s="13" t="str">
        <x:v>2. Link</x:v>
      </x:c>
      <x:c r="G10" s="13" t="str">
        <x:v>Use the same Candidate ID across gates, evidence, defects, risks and approvals.</x:v>
      </x:c>
      <x:c r="H10" s="13"/>
      <x:c r="I10" s="13"/>
      <x:c r="J10" s="13"/>
    </x:row>
    <x:row r="11">
      <x:c r="A11" s="13" t="str">
        <x:v>3</x:v>
      </x:c>
      <x:c r="B11" s="13" t="str">
        <x:v>Scope is explicit</x:v>
      </x:c>
      <x:c r="C11" s="13" t="str">
        <x:v>Authorisation states client, event, region, capability and environment.</x:v>
      </x:c>
      <x:c r="D11" s="13"/>
      <x:c r="E11" s="13"/>
      <x:c r="F11" s="13" t="str">
        <x:v>3. Prove</x:v>
      </x:c>
      <x:c r="G11" s="13" t="str">
        <x:v>Attach durable evidence links; reviewers verify them in EVIDENCE.</x:v>
      </x:c>
      <x:c r="H11" s="13"/>
      <x:c r="I11" s="13"/>
      <x:c r="J11" s="13"/>
    </x:row>
    <x:row r="12">
      <x:c r="A12" s="13" t="str">
        <x:v>4</x:v>
      </x:c>
      <x:c r="B12" s="13" t="str">
        <x:v>Blocking means stop</x:v>
      </x:c>
      <x:c r="C12" s="13" t="str">
        <x:v>Critical defects, failed gates and unresolved major incidents stop release.</x:v>
      </x:c>
      <x:c r="D12" s="13"/>
      <x:c r="E12" s="13"/>
      <x:c r="F12" s="13" t="str">
        <x:v>4. Resolve</x:v>
      </x:c>
      <x:c r="G12" s="13" t="str">
        <x:v>Close blockers or record a formally approved, time-limited exception.</x:v>
      </x:c>
      <x:c r="H12" s="13"/>
      <x:c r="I12" s="13"/>
      <x:c r="J12" s="13"/>
    </x:row>
    <x:row r="13">
      <x:c r="A13" s="13" t="str">
        <x:v>5</x:v>
      </x:c>
      <x:c r="B13" s="13" t="str">
        <x:v>Exceptions expire</x:v>
      </x:c>
      <x:c r="C13" s="13" t="str">
        <x:v>Every waiver has an owner, compensating control and expiry date.</x:v>
      </x:c>
      <x:c r="D13" s="13"/>
      <x:c r="E13" s="13"/>
      <x:c r="F13" s="13" t="str">
        <x:v>5. Review</x:v>
      </x:c>
      <x:c r="G13" s="13" t="str">
        <x:v>Select the candidate on DASHBOARD and check the automatic release signal.</x:v>
      </x:c>
      <x:c r="H13" s="13"/>
      <x:c r="I13" s="13"/>
      <x:c r="J13" s="13"/>
    </x:row>
    <x:row r="14">
      <x:c r="A14" s="13" t="str">
        <x:v>6</x:v>
      </x:c>
      <x:c r="B14" s="13" t="str">
        <x:v>Sensitive capabilities separate</x:v>
      </x:c>
      <x:c r="C14" s="13" t="str">
        <x:v>AI, FaceGate and cross-event intelligence require explicit approvals.</x:v>
      </x:c>
      <x:c r="D14" s="13"/>
      <x:c r="E14" s="13"/>
      <x:c r="F14" s="13" t="str">
        <x:v>6. Decide</x:v>
      </x:c>
      <x:c r="G14" s="13" t="str">
        <x:v>Record the CEO decision in CEO RELEASES with exact scope and conditions.</x:v>
      </x:c>
      <x:c r="H14" s="13"/>
      <x:c r="I14" s="13"/>
      <x:c r="J14" s="13"/>
    </x:row>
    <x:row r="15">
      <x:c r="A15" s="13" t="str">
        <x:v>7</x:v>
      </x:c>
      <x:c r="B15" s="13" t="str">
        <x:v>CEO authority is bounded</x:v>
      </x:c>
      <x:c r="C15" s="13" t="str">
        <x:v>CEO authorisation applies only to the named candidate and stated scope.</x:v>
      </x:c>
      <x:c r="D15" s="13"/>
      <x:c r="E15" s="13"/>
      <x:c r="F15" s="13" t="str">
        <x:v>7. Deploy</x:v>
      </x:c>
      <x:c r="G15" s="13" t="str">
        <x:v>Record the deployment result and production version on the candidate row.</x:v>
      </x:c>
      <x:c r="H15" s="13"/>
      <x:c r="I15" s="13"/>
      <x:c r="J15" s="13"/>
    </x:row>
    <x:row r="16">
      <x:c r="A16" s="13" t="str">
        <x:v>8</x:v>
      </x:c>
      <x:c r="B16" s="13" t="str">
        <x:v>Rollback is real</x:v>
      </x:c>
      <x:c r="C16" s="13" t="str">
        <x:v>Rollback, support and incident ownership must be tested before production.</x:v>
      </x:c>
      <x:c r="D16" s="13"/>
      <x:c r="E16" s="13"/>
      <x:c r="F16" s="13" t="str">
        <x:v>8. Learn</x:v>
      </x:c>
      <x:c r="G16" s="13" t="str">
        <x:v>Log incidents and feed material lessons into decisions and change control.</x:v>
      </x:c>
      <x:c r="H16" s="13"/>
      <x:c r="I16" s="13"/>
      <x:c r="J16" s="13"/>
    </x:row>
    <x:row r="17">
      <x:c r="A17" s="13" t="str">
        <x:v>9</x:v>
      </x:c>
      <x:c r="B17" s="13" t="str">
        <x:v>Audit trail is permanent</x:v>
      </x:c>
      <x:c r="C17" s="13" t="str">
        <x:v>Decisions, approvals and production changes are never silently rewritten.</x:v>
      </x:c>
      <x:c r="D17" s="13"/>
      <x:c r="E17" s="13"/>
      <x:c r="F17" s="13"/>
      <x:c r="G17" s="13"/>
      <x:c r="H17" s="13"/>
      <x:c r="I17" s="13"/>
      <x:c r="J17" s="13"/>
    </x:row>
    <x:row r="18">
      <x:c r="A18" s="13"/>
      <x:c r="B18" s="13"/>
      <x:c r="C18" s="13"/>
      <x:c r="D18" s="13"/>
      <x:c r="E18" s="13"/>
      <x:c r="F18" s="13"/>
      <x:c r="G18" s="13"/>
      <x:c r="H18" s="13"/>
      <x:c r="I18" s="13"/>
      <x:c r="J18" s="13"/>
    </x:row>
    <x:row r="19" ht="32" customHeight="1">
      <x:c r="A19" s="12" t="str">
        <x:v>ROLE BOUNDARIES</x:v>
      </x:c>
      <x:c r="B19" s="12"/>
      <x:c r="C19" s="12"/>
      <x:c r="D19" s="12"/>
      <x:c r="E19" s="12"/>
      <x:c r="F19" s="12"/>
      <x:c r="G19" s="12"/>
      <x:c r="H19" s="12"/>
      <x:c r="I19" s="12"/>
      <x:c r="J19" s="12"/>
    </x:row>
    <x:row r="20">
      <x:c r="A20" s="13" t="str">
        <x:v>CEO</x:v>
      </x:c>
      <x:c r="B20" s="13" t="str">
        <x:v>Owns final production authorisation and risk acceptance; may not self-verify technical evidence.</x:v>
      </x:c>
      <x:c r="C20" s="13"/>
      <x:c r="D20" s="13"/>
      <x:c r="E20" s="13"/>
      <x:c r="F20" s="13" t="str">
        <x:v>CTO / Engineering Lead</x:v>
      </x:c>
      <x:c r="G20" s="13" t="str">
        <x:v>Owns technical readiness, candidate integrity, rollback and deployment execution.</x:v>
      </x:c>
      <x:c r="H20" s="13"/>
      <x:c r="I20" s="13"/>
      <x:c r="J20" s="13"/>
    </x:row>
    <x:row r="21">
      <x:c r="A21" s="13" t="str">
        <x:v>Product / Operations</x:v>
      </x:c>
      <x:c r="B21" s="13" t="str">
        <x:v>Owns workflow fitness, event readiness, service standards and operational evidence.</x:v>
      </x:c>
      <x:c r="C21" s="13"/>
      <x:c r="D21" s="13"/>
      <x:c r="E21" s="13"/>
      <x:c r="F21" s="13" t="str">
        <x:v>Security / Privacy</x:v>
      </x:c>
      <x:c r="G21" s="13" t="str">
        <x:v>Owns security, privacy, biometrics, access and data-handling approvals.</x:v>
      </x:c>
      <x:c r="H21" s="13"/>
      <x:c r="I21" s="13"/>
      <x:c r="J21" s="13"/>
    </x:row>
    <x:row r="22">
      <x:c r="A22" s="13" t="str">
        <x:v>Independent Reviewer</x:v>
      </x:c>
      <x:c r="B22" s="13" t="str">
        <x:v>Verifies acceptance evidence and records pass/fail without changing implementation.</x:v>
      </x:c>
      <x:c r="C22" s="13"/>
      <x:c r="D22" s="13"/>
      <x:c r="E22" s="13"/>
      <x:c r="F22" s="13" t="str">
        <x:v>Release Manager</x:v>
      </x:c>
      <x:c r="G22" s="13" t="str">
        <x:v>Reconciles candidate, gates, approvals and deployment record.</x:v>
      </x:c>
      <x:c r="H22" s="13"/>
      <x:c r="I22" s="13"/>
      <x:c r="J22" s="13"/>
    </x:row>
    <x:row r="23">
      <x:c r="A23" s="13" t="str">
        <x:v>Incident Commander</x:v>
      </x:c>
      <x:c r="B23" s="13" t="str">
        <x:v>Controls production incident response, communications and recovery.</x:v>
      </x:c>
      <x:c r="C23" s="13"/>
      <x:c r="D23" s="13"/>
      <x:c r="E23" s="13"/>
      <x:c r="F23" s="13" t="str">
        <x:v>Governance Administrator</x:v>
      </x:c>
      <x:c r="G23" s="13" t="str">
        <x:v>Maintains register quality and vocabulary; cannot approve their own substantive record.</x:v>
      </x:c>
      <x:c r="H23" s="13"/>
      <x:c r="I23" s="13"/>
      <x:c r="J23" s="13"/>
    </x:row>
    <x:row r="24">
      <x:c r="A24" s="13" t="str">
        <x:v>Control rule</x:v>
      </x:c>
      <x:c r="B24" s="13" t="str">
        <x:v>Record preparer and approver must be different people for high-risk approvals.</x:v>
      </x:c>
      <x:c r="C24" s="13"/>
      <x:c r="D24" s="13"/>
      <x:c r="E24" s="13"/>
      <x:c r="F24" s="13" t="str">
        <x:v>Retention</x:v>
      </x:c>
      <x:c r="G24" s="13" t="str">
        <x:v>Retain governance records according to the applicable legal and client schedule.</x:v>
      </x:c>
      <x:c r="H24" s="13"/>
      <x:c r="I24" s="13"/>
      <x:c r="J24" s="13"/>
    </x:row>
    <x:row r="25">
      <x:c r="A25" s="13"/>
      <x:c r="B25" s="13"/>
      <x:c r="C25" s="13"/>
      <x:c r="D25" s="13"/>
      <x:c r="E25" s="13"/>
      <x:c r="F25" s="13"/>
      <x:c r="G25" s="13"/>
      <x:c r="H25" s="13"/>
      <x:c r="I25" s="13"/>
      <x:c r="J25" s="13"/>
    </x:row>
  </x:sheetData>
  <x:mergeCells>
    <x:mergeCell ref="A1:J1"/>
    <x:mergeCell ref="A2:J2"/>
    <x:mergeCell ref="A4:J4"/>
    <x:mergeCell ref="A5:J6"/>
    <x:mergeCell ref="A8:D8"/>
    <x:mergeCell ref="F8:J8"/>
    <x:mergeCell ref="A19:J19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14" hidden="0" customWidth="1"/>
    <x:col min="3" max="3" width="18" hidden="0" customWidth="1"/>
    <x:col min="6" max="6" width="31" hidden="0" customWidth="1"/>
    <x:col min="7" max="7" width="12" hidden="0" customWidth="1"/>
  </x:cols>
  <x:sheetData>
    <x:row r="1" ht="34" customHeight="1">
      <x:c r="A1" s="3" t="str">
        <x:v>PRODUCTION GOVERNANCE DASHBOARD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</x:row>
    <x:row r="2" ht="28" customHeight="1">
      <x:c r="A2" s="7" t="str">
        <x:v>Select a Candidate ID. All signals below are calculated from the underlying registers.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</x:row>
    <x:row r="4" ht="32" customHeight="1">
      <x:c r="A4" s="29" t="str">
        <x:v>Selected Candidate ID</x:v>
      </x:c>
      <x:c r="B4" s="31"/>
      <x:c r="F4" s="12" t="str">
        <x:v>Open control</x:v>
      </x:c>
      <x:c r="G4" s="12" t="str">
        <x:v>Count</x:v>
      </x:c>
    </x:row>
    <x:row r="5">
      <x:c r="F5" t="str">
        <x:f>A12</x:f>
        <x:v>Critical / major open defects</x:v>
      </x:c>
      <x:c r="G5" t="n">
        <x:f>B12</x:f>
        <x:v>0</x:v>
      </x:c>
    </x:row>
    <x:row r="6" ht="32" customHeight="1">
      <x:c r="A6" s="12" t="str">
        <x:v>AUTOMATIC RELEASE SIGNAL</x:v>
      </x:c>
      <x:c r="B6" s="12"/>
      <x:c r="C6" s="12"/>
      <x:c r="D6" s="12"/>
      <x:c r="F6" t="str">
        <x:f>A13</x:f>
        <x:v>Failed or incomplete G0–G6 gates</x:v>
      </x:c>
      <x:c r="G6" t="n">
        <x:f>B13</x:f>
        <x:v>0</x:v>
      </x:c>
    </x:row>
    <x:row r="7">
      <x:c r="A7" s="51" t="str">
        <x:f>IF(B4="","SELECT A CANDIDATE",IF(OR(B12&gt;0,B13&gt;0,B14&gt;0,B15&gt;0,B16&gt;0,B17&gt;0,B18&gt;0,B19&gt;0),"NOT AUTHORISED","READY FOR CEO DECISION"))</x:f>
        <x:v>SELECT A CANDIDATE</x:v>
      </x:c>
      <x:c r="B7" s="52"/>
      <x:c r="C7" s="52"/>
      <x:c r="D7" s="53"/>
      <x:c r="F7" t="str">
        <x:f>A14</x:f>
        <x:v>Critical / major open incidents</x:v>
      </x:c>
      <x:c r="G7" t="n">
        <x:f>B14</x:f>
        <x:v>0</x:v>
      </x:c>
    </x:row>
    <x:row r="8">
      <x:c r="A8" s="54"/>
      <x:c r="B8" s="55"/>
      <x:c r="C8" s="55"/>
      <x:c r="D8" s="56"/>
      <x:c r="F8" t="str">
        <x:f>A15</x:f>
        <x:v>Expired active exceptions</x:v>
      </x:c>
      <x:c r="G8" t="n">
        <x:f>B15</x:f>
        <x:v>0</x:v>
      </x:c>
    </x:row>
    <x:row r="9">
      <x:c r="A9" s="57"/>
      <x:c r="B9" s="58"/>
      <x:c r="C9" s="58"/>
      <x:c r="D9" s="59"/>
      <x:c r="F9" t="str">
        <x:f>A16</x:f>
        <x:v>Expired required approvals</x:v>
      </x:c>
      <x:c r="G9" t="n">
        <x:f>B16</x:f>
        <x:v>0</x:v>
      </x:c>
    </x:row>
    <x:row r="10">
      <x:c r="F10" t="str">
        <x:f>A17</x:f>
        <x:v>Unverified or stale evidence</x:v>
      </x:c>
      <x:c r="G10" t="n">
        <x:f>B17</x:f>
        <x:v>0</x:v>
      </x:c>
    </x:row>
    <x:row r="11" ht="32" customHeight="1">
      <x:c r="A11" s="12" t="str">
        <x:v>Blocking control</x:v>
      </x:c>
      <x:c r="B11" s="12" t="str">
        <x:v>Count</x:v>
      </x:c>
      <x:c r="C11" s="12" t="str">
        <x:v>Required state</x:v>
      </x:c>
      <x:c r="F11" t="str">
        <x:f>A18</x:f>
        <x:v>Candidate readiness failures</x:v>
      </x:c>
      <x:c r="G11" t="n">
        <x:f>B18</x:f>
        <x:v>0</x:v>
      </x:c>
    </x:row>
    <x:row r="12">
      <x:c r="A12" s="61" t="str">
        <x:v>Critical / major open defects</x:v>
      </x:c>
      <x:c r="B12" s="62" t="n">
        <x:f>IF($B$4="",0,COUNTIFS('DEFECTS'!$C$5:$C$204,$B$4,'DEFECTS'!$F$5:$F$204,"Critical",'DEFECTS'!$G$5:$G$204,"&lt;&gt;Closed")+COUNTIFS('DEFECTS'!$C$5:$C$204,$B$4,'DEFECTS'!$F$5:$F$204,"Major",'DEFECTS'!$G$5:$G$204,"&lt;&gt;Closed"))</x:f>
        <x:v>0</x:v>
      </x:c>
      <x:c r="C12" s="61" t="str">
        <x:v>0</x:v>
      </x:c>
      <x:c r="F12" t="str">
        <x:f>A19</x:f>
        <x:v>Blocking open questions</x:v>
      </x:c>
      <x:c r="G12" t="n">
        <x:f>B19</x:f>
        <x:v>0</x:v>
      </x:c>
    </x:row>
    <x:row r="13">
      <x:c r="A13" s="63" t="str">
        <x:v>Failed or incomplete G0–G6 gates</x:v>
      </x:c>
      <x:c r="B13" s="64" t="n">
        <x:f>IF($B$4="",0,7-COUNTIFS(GATES!$B$5:$B$204,$B$4,GATES!$E$5:$E$204,"Passed"))</x:f>
        <x:v>0</x:v>
      </x:c>
      <x:c r="C13" s="63" t="str">
        <x:v>0</x:v>
      </x:c>
    </x:row>
    <x:row r="14">
      <x:c r="A14" s="63" t="str">
        <x:v>Critical / major open incidents</x:v>
      </x:c>
      <x:c r="B14" s="64" t="n">
        <x:f>IF($B$4="",0,COUNTIFS(INCIDENTS!$B$5:$B$204,$B$4,INCIDENTS!$E$5:$E$204,"Critical",INCIDENTS!$F$5:$F$204,"&lt;&gt;Closed")+COUNTIFS(INCIDENTS!$B$5:$B$204,$B$4,INCIDENTS!$E$5:$E$204,"Major",INCIDENTS!$F$5:$F$204,"&lt;&gt;Closed"))</x:f>
        <x:v>0</x:v>
      </x:c>
      <x:c r="C14" s="63" t="str">
        <x:v>0</x:v>
      </x:c>
    </x:row>
    <x:row r="15">
      <x:c r="A15" s="63" t="str">
        <x:v>Expired active exceptions</x:v>
      </x:c>
      <x:c r="B15" s="64" t="n">
        <x:f>IF($B$4="",0,COUNTIFS(EXCEPTIONS!$B$5:$B$204,$B$4,EXCEPTIONS!$R$5:$R$204,"YES"))</x:f>
        <x:v>0</x:v>
      </x:c>
      <x:c r="C15" s="63" t="str">
        <x:v>0</x:v>
      </x:c>
    </x:row>
    <x:row r="16">
      <x:c r="A16" s="63" t="str">
        <x:v>Expired required approvals</x:v>
      </x:c>
      <x:c r="B16" s="64" t="n">
        <x:f>IF($B$4="",0,COUNTIFS(APPROVALS!$B$5:$B$204,$B$4,APPROVALS!$H$5:$H$204,"Yes",APPROVALS!$V$5:$V$204,"YES"))</x:f>
        <x:v>0</x:v>
      </x:c>
      <x:c r="C16" s="63" t="str">
        <x:v>0</x:v>
      </x:c>
    </x:row>
    <x:row r="17">
      <x:c r="A17" s="63" t="str">
        <x:v>Unverified or stale evidence</x:v>
      </x:c>
      <x:c r="B17" s="64" t="n">
        <x:f>IF($B$4="",0,COUNTIFS(EVIDENCE!$B$5:$B$204,$B$4,EVIDENCE!$L$5:$L$204,"&lt;&gt;Verified")+COUNTIFS(EVIDENCE!$B$5:$B$204,$B$4,EVIDENCE!$U$5:$U$204,"YES"))</x:f>
        <x:v>0</x:v>
      </x:c>
      <x:c r="C17" s="63" t="str">
        <x:v>0</x:v>
      </x:c>
    </x:row>
    <x:row r="18">
      <x:c r="A18" s="63" t="str">
        <x:v>Candidate readiness failures</x:v>
      </x:c>
      <x:c r="B18" s="64" t="n">
        <x:f>IF($B$4="",0,COUNTIFS('RELEASE CANDIDATES'!$A$5:$A$204,$B$4,'RELEASE CANDIDATES'!$H$5:$H$204,"&lt;&gt;Yes")+COUNTIFS('RELEASE CANDIDATES'!$A$5:$A$204,$B$4,'RELEASE CANDIDATES'!$I$5:$I$204,"&lt;&gt;Pass")+COUNTIFS('RELEASE CANDIDATES'!$A$5:$A$204,$B$4,'RELEASE CANDIDATES'!$J$5:$J$204,"&lt;&gt;Pass")+COUNTIFS('RELEASE CANDIDATES'!$A$5:$A$204,$B$4,'RELEASE CANDIDATES'!$L$5:$L$204,"&lt;&gt;Pass")+COUNTIFS('RELEASE CANDIDATES'!$A$5:$A$204,$B$4,'RELEASE CANDIDATES'!$M$5:$M$204,"&lt;&gt;Pass")+COUNTIFS('RELEASE CANDIDATES'!$A$5:$A$204,$B$4,'RELEASE CANDIDATES'!$N$5:$N$204,"&lt;&gt;Pass")+COUNTIFS('RELEASE CANDIDATES'!$A$5:$A$204,$B$4,'RELEASE CANDIDATES'!$Q$5:$Q$204,"&lt;&gt;Yes"))</x:f>
        <x:v>0</x:v>
      </x:c>
      <x:c r="C18" s="63" t="str">
        <x:v>0</x:v>
      </x:c>
    </x:row>
    <x:row r="19">
      <x:c r="A19" s="65" t="str">
        <x:v>Blocking open questions</x:v>
      </x:c>
      <x:c r="B19" s="66" t="n">
        <x:f>IF($B$4="",0,COUNTIFS('OPEN QUESTIONS'!$B$5:$B$204,$B$4,'OPEN QUESTIONS'!$L$5:$L$204,"Yes",'OPEN QUESTIONS'!$K$5:$K$204,"&lt;&gt;Closed"))</x:f>
        <x:v>0</x:v>
      </x:c>
      <x:c r="C19" s="65" t="str">
        <x:v>0</x:v>
      </x:c>
    </x:row>
    <x:row r="22" ht="30" customHeight="1">
      <x:c r="A22" s="68" t="str">
        <x:v>Interpretation: READY FOR CEO DECISION is not production approval. Production is authorised only by a valid CEO RELEASES record for the exact candidate and scope.</x:v>
      </x:c>
      <x:c r="B22" s="68"/>
      <x:c r="C22" s="68"/>
      <x:c r="D22" s="68"/>
      <x:c r="E22" s="68"/>
      <x:c r="F22" s="68"/>
      <x:c r="G22" s="68"/>
      <x:c r="H22" s="68"/>
      <x:c r="I22" s="68"/>
      <x:c r="J22" s="68"/>
      <x:c r="K22" s="68"/>
      <x:c r="L22" s="68"/>
      <x:c r="M22" s="68"/>
      <x:c r="N22" s="68"/>
    </x:row>
  </x:sheetData>
  <x:mergeCells>
    <x:mergeCell ref="A1:N1"/>
    <x:mergeCell ref="A2:N2"/>
    <x:mergeCell ref="A6:D6"/>
    <x:mergeCell ref="A7:D9"/>
    <x:mergeCell ref="A22:N22"/>
  </x:mergeCells>
  <x:conditionalFormatting sqref="A7:D9">
    <x:cfRule type="containsText" dxfId="36" priority="1" operator="containsText" text="NOT AUTHORISED"/>
    <x:cfRule type="containsText" dxfId="37" priority="2" operator="containsText" text="READY"/>
    <x:cfRule type="containsText" dxfId="38" priority="3" operator="containsText" text="SELECT"/>
  </x:conditionalFormatting>
  <x:conditionalFormatting sqref="B12:B19">
    <x:cfRule type="cellIs" dxfId="39" priority="4" operator="greaterThan">
      <x:formula>0</x:formula>
    </x:cfRule>
    <x:cfRule type="cellIs" dxfId="40" priority="5" operator="equal">
      <x:formula>0</x:formula>
    </x:cfRule>
  </x:conditionalFormatting>
  <x:dataValidations count="1">
    <x:dataValidation type="list" sqref="B4">
      <x:formula1>'RELEASE CANDIDATES'!$A$5:$A$204</x:formula1>
    </x:dataValidation>
  </x:dataValidations>
  <x:pageMargins left="0.7" right="0.7" top="0.75" bottom="0.75" header="0.3" footer="0.3"/>
  <x:drawing xmlns:r="http://schemas.openxmlformats.org/officeDocument/2006/relationships" r:id="Rc50816a86c1c46cf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4" hidden="0" customWidth="1"/>
    <x:col min="3" max="3" width="18" hidden="0" customWidth="1"/>
    <x:col min="4" max="4" width="14" hidden="0" customWidth="1"/>
    <x:col min="5" max="5" width="13" hidden="0" customWidth="1"/>
    <x:col min="6" max="6" width="18" hidden="0" customWidth="1"/>
    <x:col min="7" max="7" width="30" hidden="0" customWidth="1"/>
    <x:col min="8" max="8" width="13" hidden="0" customWidth="1"/>
    <x:col min="9" max="9" width="14" hidden="0" customWidth="1"/>
    <x:col min="10" max="10" width="15" hidden="0" customWidth="1"/>
    <x:col min="11" max="11" width="14" hidden="0" customWidth="1"/>
    <x:col min="12" max="12" width="14" hidden="0" customWidth="1"/>
    <x:col min="13" max="13" width="16" hidden="0" customWidth="1"/>
    <x:col min="14" max="14" width="14" hidden="0" customWidth="1"/>
    <x:col min="15" max="15" width="12" hidden="0" customWidth="1"/>
    <x:col min="16" max="16" width="13" hidden="0" customWidth="1"/>
    <x:col min="17" max="17" width="18" hidden="0" customWidth="1"/>
    <x:col min="18" max="18" width="17" hidden="0" customWidth="1"/>
    <x:col min="19" max="19" width="16" hidden="0" customWidth="1"/>
    <x:col min="20" max="20" width="16" hidden="0" customWidth="1"/>
    <x:col min="21" max="21" width="28" hidden="0" customWidth="1"/>
    <x:col min="22" max="22" width="30" hidden="0" customWidth="1"/>
  </x:cols>
  <x:sheetData>
    <x:row r="1" ht="34" customHeight="1">
      <x:c r="A1" s="3" t="str">
        <x:v>RELEASE CANDIDATES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</x:row>
    <x:row r="2" ht="28" customHeight="1">
      <x:c r="A2" s="7" t="str">
        <x:v>One immutable row per build proposed for staging or production. Do not reuse a Candidate ID.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  <x:c r="R2" s="7"/>
      <x:c r="S2" s="7"/>
      <x:c r="T2" s="7"/>
      <x:c r="U2" s="7"/>
      <x:c r="V2" s="7"/>
    </x:row>
    <x:row r="4" ht="32" customHeight="1">
      <x:c r="A4" s="12" t="str">
        <x:v>Candidate ID*</x:v>
      </x:c>
      <x:c r="B4" s="12" t="str">
        <x:v>Version*</x:v>
      </x:c>
      <x:c r="C4" s="12" t="str">
        <x:v>Commit SHA*</x:v>
      </x:c>
      <x:c r="D4" s="12" t="str">
        <x:v>Environment*</x:v>
      </x:c>
      <x:c r="E4" s="12" t="str">
        <x:v>Created Date*</x:v>
      </x:c>
      <x:c r="F4" s="12" t="str">
        <x:v>Owner*</x:v>
      </x:c>
      <x:c r="G4" s="12" t="str">
        <x:v>Scope Summary*</x:v>
      </x:c>
      <x:c r="H4" s="12" t="str">
        <x:v>Reconciled?*</x:v>
      </x:c>
      <x:c r="I4" s="12" t="str">
        <x:v>Security Test*</x:v>
      </x:c>
      <x:c r="J4" s="12" t="str">
        <x:v>Acceptance Test*</x:v>
      </x:c>
      <x:c r="K4" s="12" t="str">
        <x:v>Migration Test*</x:v>
      </x:c>
      <x:c r="L4" s="12" t="str">
        <x:v>Rollback Test*</x:v>
      </x:c>
      <x:c r="M4" s="12" t="str">
        <x:v>Observability Ready*</x:v>
      </x:c>
      <x:c r="N4" s="12" t="str">
        <x:v>Support Ready*</x:v>
      </x:c>
      <x:c r="O4" s="12" t="str">
        <x:v>DR Ready*</x:v>
      </x:c>
      <x:c r="P4" s="12" t="str">
        <x:v>Privacy Ready*</x:v>
      </x:c>
      <x:c r="Q4" s="12" t="str">
        <x:v>Required Approvals Complete?*</x:v>
      </x:c>
      <x:c r="R4" s="12" t="str">
        <x:v>Deployment Status</x:v>
      </x:c>
      <x:c r="S4" s="12" t="str">
        <x:v>Production Version</x:v>
      </x:c>
      <x:c r="T4" s="12" t="str">
        <x:v>Deployed At</x:v>
      </x:c>
      <x:c r="U4" s="12" t="str">
        <x:v>Deployment Record Link</x:v>
      </x:c>
      <x:c r="V4" s="12" t="str">
        <x:v>Notes</x:v>
      </x:c>
    </x:row>
    <x:row r="5">
      <x:c r="A5" s="19"/>
      <x:c r="B5" s="19"/>
      <x:c r="C5" s="19"/>
      <x:c r="D5" s="19"/>
      <x:c r="E5" s="22"/>
      <x:c r="F5" s="19"/>
      <x:c r="G5" s="19"/>
      <x:c r="H5" s="19"/>
      <x:c r="I5" s="19"/>
      <x:c r="J5" s="19"/>
      <x:c r="K5" s="19"/>
      <x:c r="L5" s="19"/>
      <x:c r="M5" s="19"/>
      <x:c r="N5" s="19"/>
      <x:c r="O5" s="19"/>
      <x:c r="P5" s="19"/>
      <x:c r="Q5" s="19"/>
      <x:c r="R5" s="19"/>
      <x:c r="S5" s="19"/>
      <x:c r="T5" s="22"/>
      <x:c r="U5" s="19"/>
      <x:c r="V5" s="19"/>
    </x:row>
    <x:row r="6">
      <x:c r="A6" s="20"/>
      <x:c r="B6" s="20"/>
      <x:c r="C6" s="20"/>
      <x:c r="D6" s="20"/>
      <x:c r="E6" s="23"/>
      <x:c r="F6" s="20"/>
      <x:c r="G6" s="20"/>
      <x:c r="H6" s="20"/>
      <x:c r="I6" s="20"/>
      <x:c r="J6" s="20"/>
      <x:c r="K6" s="20"/>
      <x:c r="L6" s="20"/>
      <x:c r="M6" s="20"/>
      <x:c r="N6" s="20"/>
      <x:c r="O6" s="20"/>
      <x:c r="P6" s="20"/>
      <x:c r="Q6" s="20"/>
      <x:c r="R6" s="20"/>
      <x:c r="S6" s="20"/>
      <x:c r="T6" s="23"/>
      <x:c r="U6" s="20"/>
      <x:c r="V6" s="20"/>
    </x:row>
    <x:row r="7">
      <x:c r="A7" s="20"/>
      <x:c r="B7" s="20"/>
      <x:c r="C7" s="20"/>
      <x:c r="D7" s="20"/>
      <x:c r="E7" s="23"/>
      <x:c r="F7" s="20"/>
      <x:c r="G7" s="20"/>
      <x:c r="H7" s="20"/>
      <x:c r="I7" s="20"/>
      <x:c r="J7" s="20"/>
      <x:c r="K7" s="20"/>
      <x:c r="L7" s="20"/>
      <x:c r="M7" s="20"/>
      <x:c r="N7" s="20"/>
      <x:c r="O7" s="20"/>
      <x:c r="P7" s="20"/>
      <x:c r="Q7" s="20"/>
      <x:c r="R7" s="20"/>
      <x:c r="S7" s="20"/>
      <x:c r="T7" s="23"/>
      <x:c r="U7" s="20"/>
      <x:c r="V7" s="20"/>
    </x:row>
    <x:row r="8">
      <x:c r="A8" s="20"/>
      <x:c r="B8" s="20"/>
      <x:c r="C8" s="20"/>
      <x:c r="D8" s="20"/>
      <x:c r="E8" s="23"/>
      <x:c r="F8" s="20"/>
      <x:c r="G8" s="20"/>
      <x:c r="H8" s="20"/>
      <x:c r="I8" s="20"/>
      <x:c r="J8" s="20"/>
      <x:c r="K8" s="20"/>
      <x:c r="L8" s="20"/>
      <x:c r="M8" s="20"/>
      <x:c r="N8" s="20"/>
      <x:c r="O8" s="20"/>
      <x:c r="P8" s="20"/>
      <x:c r="Q8" s="20"/>
      <x:c r="R8" s="20"/>
      <x:c r="S8" s="20"/>
      <x:c r="T8" s="23"/>
      <x:c r="U8" s="20"/>
      <x:c r="V8" s="20"/>
    </x:row>
    <x:row r="9">
      <x:c r="A9" s="20"/>
      <x:c r="B9" s="20"/>
      <x:c r="C9" s="20"/>
      <x:c r="D9" s="20"/>
      <x:c r="E9" s="23"/>
      <x:c r="F9" s="20"/>
      <x:c r="G9" s="20"/>
      <x:c r="H9" s="20"/>
      <x:c r="I9" s="20"/>
      <x:c r="J9" s="20"/>
      <x:c r="K9" s="20"/>
      <x:c r="L9" s="20"/>
      <x:c r="M9" s="20"/>
      <x:c r="N9" s="20"/>
      <x:c r="O9" s="20"/>
      <x:c r="P9" s="20"/>
      <x:c r="Q9" s="20"/>
      <x:c r="R9" s="20"/>
      <x:c r="S9" s="20"/>
      <x:c r="T9" s="23"/>
      <x:c r="U9" s="20"/>
      <x:c r="V9" s="20"/>
    </x:row>
    <x:row r="10">
      <x:c r="A10" s="20"/>
      <x:c r="B10" s="20"/>
      <x:c r="C10" s="20"/>
      <x:c r="D10" s="20"/>
      <x:c r="E10" s="23"/>
      <x:c r="F10" s="20"/>
      <x:c r="G10" s="20"/>
      <x:c r="H10" s="20"/>
      <x:c r="I10" s="20"/>
      <x:c r="J10" s="20"/>
      <x:c r="K10" s="20"/>
      <x:c r="L10" s="20"/>
      <x:c r="M10" s="20"/>
      <x:c r="N10" s="20"/>
      <x:c r="O10" s="20"/>
      <x:c r="P10" s="20"/>
      <x:c r="Q10" s="20"/>
      <x:c r="R10" s="20"/>
      <x:c r="S10" s="20"/>
      <x:c r="T10" s="23"/>
      <x:c r="U10" s="20"/>
      <x:c r="V10" s="20"/>
    </x:row>
    <x:row r="11">
      <x:c r="A11" s="20"/>
      <x:c r="B11" s="20"/>
      <x:c r="C11" s="20"/>
      <x:c r="D11" s="20"/>
      <x:c r="E11" s="23"/>
      <x:c r="F11" s="20"/>
      <x:c r="G11" s="20"/>
      <x:c r="H11" s="20"/>
      <x:c r="I11" s="20"/>
      <x:c r="J11" s="20"/>
      <x:c r="K11" s="20"/>
      <x:c r="L11" s="20"/>
      <x:c r="M11" s="20"/>
      <x:c r="N11" s="20"/>
      <x:c r="O11" s="20"/>
      <x:c r="P11" s="20"/>
      <x:c r="Q11" s="20"/>
      <x:c r="R11" s="20"/>
      <x:c r="S11" s="20"/>
      <x:c r="T11" s="23"/>
      <x:c r="U11" s="20"/>
      <x:c r="V11" s="20"/>
    </x:row>
    <x:row r="12">
      <x:c r="A12" s="20"/>
      <x:c r="B12" s="20"/>
      <x:c r="C12" s="20"/>
      <x:c r="D12" s="20"/>
      <x:c r="E12" s="23"/>
      <x:c r="F12" s="20"/>
      <x:c r="G12" s="20"/>
      <x:c r="H12" s="20"/>
      <x:c r="I12" s="20"/>
      <x:c r="J12" s="20"/>
      <x:c r="K12" s="20"/>
      <x:c r="L12" s="20"/>
      <x:c r="M12" s="20"/>
      <x:c r="N12" s="20"/>
      <x:c r="O12" s="20"/>
      <x:c r="P12" s="20"/>
      <x:c r="Q12" s="20"/>
      <x:c r="R12" s="20"/>
      <x:c r="S12" s="20"/>
      <x:c r="T12" s="23"/>
      <x:c r="U12" s="20"/>
      <x:c r="V12" s="20"/>
    </x:row>
    <x:row r="13">
      <x:c r="A13" s="20"/>
      <x:c r="B13" s="20"/>
      <x:c r="C13" s="20"/>
      <x:c r="D13" s="20"/>
      <x:c r="E13" s="23"/>
      <x:c r="F13" s="20"/>
      <x:c r="G13" s="20"/>
      <x:c r="H13" s="20"/>
      <x:c r="I13" s="20"/>
      <x:c r="J13" s="20"/>
      <x:c r="K13" s="20"/>
      <x:c r="L13" s="20"/>
      <x:c r="M13" s="20"/>
      <x:c r="N13" s="20"/>
      <x:c r="O13" s="20"/>
      <x:c r="P13" s="20"/>
      <x:c r="Q13" s="20"/>
      <x:c r="R13" s="20"/>
      <x:c r="S13" s="20"/>
      <x:c r="T13" s="23"/>
      <x:c r="U13" s="20"/>
      <x:c r="V13" s="20"/>
    </x:row>
    <x:row r="14">
      <x:c r="A14" s="20"/>
      <x:c r="B14" s="20"/>
      <x:c r="C14" s="20"/>
      <x:c r="D14" s="20"/>
      <x:c r="E14" s="23"/>
      <x:c r="F14" s="20"/>
      <x:c r="G14" s="20"/>
      <x:c r="H14" s="20"/>
      <x:c r="I14" s="20"/>
      <x:c r="J14" s="20"/>
      <x:c r="K14" s="20"/>
      <x:c r="L14" s="20"/>
      <x:c r="M14" s="20"/>
      <x:c r="N14" s="20"/>
      <x:c r="O14" s="20"/>
      <x:c r="P14" s="20"/>
      <x:c r="Q14" s="20"/>
      <x:c r="R14" s="20"/>
      <x:c r="S14" s="20"/>
      <x:c r="T14" s="23"/>
      <x:c r="U14" s="20"/>
      <x:c r="V14" s="20"/>
    </x:row>
    <x:row r="15">
      <x:c r="A15" s="20"/>
      <x:c r="B15" s="20"/>
      <x:c r="C15" s="20"/>
      <x:c r="D15" s="20"/>
      <x:c r="E15" s="23"/>
      <x:c r="F15" s="20"/>
      <x:c r="G15" s="20"/>
      <x:c r="H15" s="20"/>
      <x:c r="I15" s="20"/>
      <x:c r="J15" s="20"/>
      <x:c r="K15" s="20"/>
      <x:c r="L15" s="20"/>
      <x:c r="M15" s="20"/>
      <x:c r="N15" s="20"/>
      <x:c r="O15" s="20"/>
      <x:c r="P15" s="20"/>
      <x:c r="Q15" s="20"/>
      <x:c r="R15" s="20"/>
      <x:c r="S15" s="20"/>
      <x:c r="T15" s="23"/>
      <x:c r="U15" s="20"/>
      <x:c r="V15" s="20"/>
    </x:row>
    <x:row r="16">
      <x:c r="A16" s="20"/>
      <x:c r="B16" s="20"/>
      <x:c r="C16" s="20"/>
      <x:c r="D16" s="20"/>
      <x:c r="E16" s="23"/>
      <x:c r="F16" s="20"/>
      <x:c r="G16" s="20"/>
      <x:c r="H16" s="20"/>
      <x:c r="I16" s="20"/>
      <x:c r="J16" s="20"/>
      <x:c r="K16" s="20"/>
      <x:c r="L16" s="20"/>
      <x:c r="M16" s="20"/>
      <x:c r="N16" s="20"/>
      <x:c r="O16" s="20"/>
      <x:c r="P16" s="20"/>
      <x:c r="Q16" s="20"/>
      <x:c r="R16" s="20"/>
      <x:c r="S16" s="20"/>
      <x:c r="T16" s="23"/>
      <x:c r="U16" s="20"/>
      <x:c r="V16" s="20"/>
    </x:row>
    <x:row r="17">
      <x:c r="A17" s="20"/>
      <x:c r="B17" s="20"/>
      <x:c r="C17" s="20"/>
      <x:c r="D17" s="20"/>
      <x:c r="E17" s="23"/>
      <x:c r="F17" s="20"/>
      <x:c r="G17" s="20"/>
      <x:c r="H17" s="20"/>
      <x:c r="I17" s="20"/>
      <x:c r="J17" s="20"/>
      <x:c r="K17" s="20"/>
      <x:c r="L17" s="20"/>
      <x:c r="M17" s="20"/>
      <x:c r="N17" s="20"/>
      <x:c r="O17" s="20"/>
      <x:c r="P17" s="20"/>
      <x:c r="Q17" s="20"/>
      <x:c r="R17" s="20"/>
      <x:c r="S17" s="20"/>
      <x:c r="T17" s="23"/>
      <x:c r="U17" s="20"/>
      <x:c r="V17" s="20"/>
    </x:row>
    <x:row r="18">
      <x:c r="A18" s="20"/>
      <x:c r="B18" s="20"/>
      <x:c r="C18" s="20"/>
      <x:c r="D18" s="20"/>
      <x:c r="E18" s="23"/>
      <x:c r="F18" s="20"/>
      <x:c r="G18" s="20"/>
      <x:c r="H18" s="20"/>
      <x:c r="I18" s="20"/>
      <x:c r="J18" s="20"/>
      <x:c r="K18" s="20"/>
      <x:c r="L18" s="20"/>
      <x:c r="M18" s="20"/>
      <x:c r="N18" s="20"/>
      <x:c r="O18" s="20"/>
      <x:c r="P18" s="20"/>
      <x:c r="Q18" s="20"/>
      <x:c r="R18" s="20"/>
      <x:c r="S18" s="20"/>
      <x:c r="T18" s="23"/>
      <x:c r="U18" s="20"/>
      <x:c r="V18" s="20"/>
    </x:row>
    <x:row r="19">
      <x:c r="A19" s="20"/>
      <x:c r="B19" s="20"/>
      <x:c r="C19" s="20"/>
      <x:c r="D19" s="20"/>
      <x:c r="E19" s="23"/>
      <x:c r="F19" s="20"/>
      <x:c r="G19" s="20"/>
      <x:c r="H19" s="20"/>
      <x:c r="I19" s="20"/>
      <x:c r="J19" s="20"/>
      <x:c r="K19" s="20"/>
      <x:c r="L19" s="20"/>
      <x:c r="M19" s="20"/>
      <x:c r="N19" s="20"/>
      <x:c r="O19" s="20"/>
      <x:c r="P19" s="20"/>
      <x:c r="Q19" s="20"/>
      <x:c r="R19" s="20"/>
      <x:c r="S19" s="20"/>
      <x:c r="T19" s="23"/>
      <x:c r="U19" s="20"/>
      <x:c r="V19" s="20"/>
    </x:row>
    <x:row r="20">
      <x:c r="A20" s="20"/>
      <x:c r="B20" s="20"/>
      <x:c r="C20" s="20"/>
      <x:c r="D20" s="20"/>
      <x:c r="E20" s="23"/>
      <x:c r="F20" s="20"/>
      <x:c r="G20" s="20"/>
      <x:c r="H20" s="20"/>
      <x:c r="I20" s="20"/>
      <x:c r="J20" s="20"/>
      <x:c r="K20" s="20"/>
      <x:c r="L20" s="20"/>
      <x:c r="M20" s="20"/>
      <x:c r="N20" s="20"/>
      <x:c r="O20" s="20"/>
      <x:c r="P20" s="20"/>
      <x:c r="Q20" s="20"/>
      <x:c r="R20" s="20"/>
      <x:c r="S20" s="20"/>
      <x:c r="T20" s="23"/>
      <x:c r="U20" s="20"/>
      <x:c r="V20" s="20"/>
    </x:row>
    <x:row r="21">
      <x:c r="A21" s="20"/>
      <x:c r="B21" s="20"/>
      <x:c r="C21" s="20"/>
      <x:c r="D21" s="20"/>
      <x:c r="E21" s="23"/>
      <x:c r="F21" s="20"/>
      <x:c r="G21" s="20"/>
      <x:c r="H21" s="20"/>
      <x:c r="I21" s="20"/>
      <x:c r="J21" s="20"/>
      <x:c r="K21" s="20"/>
      <x:c r="L21" s="20"/>
      <x:c r="M21" s="20"/>
      <x:c r="N21" s="20"/>
      <x:c r="O21" s="20"/>
      <x:c r="P21" s="20"/>
      <x:c r="Q21" s="20"/>
      <x:c r="R21" s="20"/>
      <x:c r="S21" s="20"/>
      <x:c r="T21" s="23"/>
      <x:c r="U21" s="20"/>
      <x:c r="V21" s="20"/>
    </x:row>
    <x:row r="22">
      <x:c r="A22" s="20"/>
      <x:c r="B22" s="20"/>
      <x:c r="C22" s="20"/>
      <x:c r="D22" s="20"/>
      <x:c r="E22" s="23"/>
      <x:c r="F22" s="20"/>
      <x:c r="G22" s="20"/>
      <x:c r="H22" s="20"/>
      <x:c r="I22" s="20"/>
      <x:c r="J22" s="20"/>
      <x:c r="K22" s="20"/>
      <x:c r="L22" s="20"/>
      <x:c r="M22" s="20"/>
      <x:c r="N22" s="20"/>
      <x:c r="O22" s="20"/>
      <x:c r="P22" s="20"/>
      <x:c r="Q22" s="20"/>
      <x:c r="R22" s="20"/>
      <x:c r="S22" s="20"/>
      <x:c r="T22" s="23"/>
      <x:c r="U22" s="20"/>
      <x:c r="V22" s="20"/>
    </x:row>
    <x:row r="23">
      <x:c r="A23" s="20"/>
      <x:c r="B23" s="20"/>
      <x:c r="C23" s="20"/>
      <x:c r="D23" s="20"/>
      <x:c r="E23" s="23"/>
      <x:c r="F23" s="20"/>
      <x:c r="G23" s="20"/>
      <x:c r="H23" s="20"/>
      <x:c r="I23" s="20"/>
      <x:c r="J23" s="20"/>
      <x:c r="K23" s="20"/>
      <x:c r="L23" s="20"/>
      <x:c r="M23" s="20"/>
      <x:c r="N23" s="20"/>
      <x:c r="O23" s="20"/>
      <x:c r="P23" s="20"/>
      <x:c r="Q23" s="20"/>
      <x:c r="R23" s="20"/>
      <x:c r="S23" s="20"/>
      <x:c r="T23" s="23"/>
      <x:c r="U23" s="20"/>
      <x:c r="V23" s="20"/>
    </x:row>
    <x:row r="24">
      <x:c r="A24" s="20"/>
      <x:c r="B24" s="20"/>
      <x:c r="C24" s="20"/>
      <x:c r="D24" s="20"/>
      <x:c r="E24" s="23"/>
      <x:c r="F24" s="20"/>
      <x:c r="G24" s="20"/>
      <x:c r="H24" s="20"/>
      <x:c r="I24" s="20"/>
      <x:c r="J24" s="20"/>
      <x:c r="K24" s="20"/>
      <x:c r="L24" s="20"/>
      <x:c r="M24" s="20"/>
      <x:c r="N24" s="20"/>
      <x:c r="O24" s="20"/>
      <x:c r="P24" s="20"/>
      <x:c r="Q24" s="20"/>
      <x:c r="R24" s="20"/>
      <x:c r="S24" s="20"/>
      <x:c r="T24" s="23"/>
      <x:c r="U24" s="20"/>
      <x:c r="V24" s="20"/>
    </x:row>
    <x:row r="25">
      <x:c r="A25" s="20"/>
      <x:c r="B25" s="20"/>
      <x:c r="C25" s="20"/>
      <x:c r="D25" s="20"/>
      <x:c r="E25" s="23"/>
      <x:c r="F25" s="20"/>
      <x:c r="G25" s="20"/>
      <x:c r="H25" s="20"/>
      <x:c r="I25" s="20"/>
      <x:c r="J25" s="20"/>
      <x:c r="K25" s="20"/>
      <x:c r="L25" s="20"/>
      <x:c r="M25" s="20"/>
      <x:c r="N25" s="20"/>
      <x:c r="O25" s="20"/>
      <x:c r="P25" s="20"/>
      <x:c r="Q25" s="20"/>
      <x:c r="R25" s="20"/>
      <x:c r="S25" s="20"/>
      <x:c r="T25" s="23"/>
      <x:c r="U25" s="20"/>
      <x:c r="V25" s="20"/>
    </x:row>
    <x:row r="26">
      <x:c r="A26" s="20"/>
      <x:c r="B26" s="20"/>
      <x:c r="C26" s="20"/>
      <x:c r="D26" s="20"/>
      <x:c r="E26" s="23"/>
      <x:c r="F26" s="20"/>
      <x:c r="G26" s="20"/>
      <x:c r="H26" s="20"/>
      <x:c r="I26" s="20"/>
      <x:c r="J26" s="20"/>
      <x:c r="K26" s="20"/>
      <x:c r="L26" s="20"/>
      <x:c r="M26" s="20"/>
      <x:c r="N26" s="20"/>
      <x:c r="O26" s="20"/>
      <x:c r="P26" s="20"/>
      <x:c r="Q26" s="20"/>
      <x:c r="R26" s="20"/>
      <x:c r="S26" s="20"/>
      <x:c r="T26" s="23"/>
      <x:c r="U26" s="20"/>
      <x:c r="V26" s="20"/>
    </x:row>
    <x:row r="27">
      <x:c r="A27" s="20"/>
      <x:c r="B27" s="20"/>
      <x:c r="C27" s="20"/>
      <x:c r="D27" s="20"/>
      <x:c r="E27" s="23"/>
      <x:c r="F27" s="20"/>
      <x:c r="G27" s="20"/>
      <x:c r="H27" s="20"/>
      <x:c r="I27" s="20"/>
      <x:c r="J27" s="20"/>
      <x:c r="K27" s="20"/>
      <x:c r="L27" s="20"/>
      <x:c r="M27" s="20"/>
      <x:c r="N27" s="20"/>
      <x:c r="O27" s="20"/>
      <x:c r="P27" s="20"/>
      <x:c r="Q27" s="20"/>
      <x:c r="R27" s="20"/>
      <x:c r="S27" s="20"/>
      <x:c r="T27" s="23"/>
      <x:c r="U27" s="20"/>
      <x:c r="V27" s="20"/>
    </x:row>
    <x:row r="28">
      <x:c r="A28" s="20"/>
      <x:c r="B28" s="20"/>
      <x:c r="C28" s="20"/>
      <x:c r="D28" s="20"/>
      <x:c r="E28" s="23"/>
      <x:c r="F28" s="20"/>
      <x:c r="G28" s="20"/>
      <x:c r="H28" s="20"/>
      <x:c r="I28" s="20"/>
      <x:c r="J28" s="20"/>
      <x:c r="K28" s="20"/>
      <x:c r="L28" s="20"/>
      <x:c r="M28" s="20"/>
      <x:c r="N28" s="20"/>
      <x:c r="O28" s="20"/>
      <x:c r="P28" s="20"/>
      <x:c r="Q28" s="20"/>
      <x:c r="R28" s="20"/>
      <x:c r="S28" s="20"/>
      <x:c r="T28" s="23"/>
      <x:c r="U28" s="20"/>
      <x:c r="V28" s="20"/>
    </x:row>
    <x:row r="29">
      <x:c r="A29" s="20"/>
      <x:c r="B29" s="20"/>
      <x:c r="C29" s="20"/>
      <x:c r="D29" s="20"/>
      <x:c r="E29" s="23"/>
      <x:c r="F29" s="20"/>
      <x:c r="G29" s="20"/>
      <x:c r="H29" s="20"/>
      <x:c r="I29" s="20"/>
      <x:c r="J29" s="20"/>
      <x:c r="K29" s="20"/>
      <x:c r="L29" s="20"/>
      <x:c r="M29" s="20"/>
      <x:c r="N29" s="20"/>
      <x:c r="O29" s="20"/>
      <x:c r="P29" s="20"/>
      <x:c r="Q29" s="20"/>
      <x:c r="R29" s="20"/>
      <x:c r="S29" s="20"/>
      <x:c r="T29" s="23"/>
      <x:c r="U29" s="20"/>
      <x:c r="V29" s="20"/>
    </x:row>
    <x:row r="30">
      <x:c r="A30" s="20"/>
      <x:c r="B30" s="20"/>
      <x:c r="C30" s="20"/>
      <x:c r="D30" s="20"/>
      <x:c r="E30" s="23"/>
      <x:c r="F30" s="20"/>
      <x:c r="G30" s="20"/>
      <x:c r="H30" s="20"/>
      <x:c r="I30" s="20"/>
      <x:c r="J30" s="20"/>
      <x:c r="K30" s="20"/>
      <x:c r="L30" s="20"/>
      <x:c r="M30" s="20"/>
      <x:c r="N30" s="20"/>
      <x:c r="O30" s="20"/>
      <x:c r="P30" s="20"/>
      <x:c r="Q30" s="20"/>
      <x:c r="R30" s="20"/>
      <x:c r="S30" s="20"/>
      <x:c r="T30" s="23"/>
      <x:c r="U30" s="20"/>
      <x:c r="V30" s="20"/>
    </x:row>
    <x:row r="31">
      <x:c r="A31" s="20"/>
      <x:c r="B31" s="20"/>
      <x:c r="C31" s="20"/>
      <x:c r="D31" s="20"/>
      <x:c r="E31" s="23"/>
      <x:c r="F31" s="20"/>
      <x:c r="G31" s="20"/>
      <x:c r="H31" s="20"/>
      <x:c r="I31" s="20"/>
      <x:c r="J31" s="20"/>
      <x:c r="K31" s="20"/>
      <x:c r="L31" s="20"/>
      <x:c r="M31" s="20"/>
      <x:c r="N31" s="20"/>
      <x:c r="O31" s="20"/>
      <x:c r="P31" s="20"/>
      <x:c r="Q31" s="20"/>
      <x:c r="R31" s="20"/>
      <x:c r="S31" s="20"/>
      <x:c r="T31" s="23"/>
      <x:c r="U31" s="20"/>
      <x:c r="V31" s="20"/>
    </x:row>
    <x:row r="32">
      <x:c r="A32" s="20"/>
      <x:c r="B32" s="20"/>
      <x:c r="C32" s="20"/>
      <x:c r="D32" s="20"/>
      <x:c r="E32" s="23"/>
      <x:c r="F32" s="20"/>
      <x:c r="G32" s="20"/>
      <x:c r="H32" s="20"/>
      <x:c r="I32" s="20"/>
      <x:c r="J32" s="20"/>
      <x:c r="K32" s="20"/>
      <x:c r="L32" s="20"/>
      <x:c r="M32" s="20"/>
      <x:c r="N32" s="20"/>
      <x:c r="O32" s="20"/>
      <x:c r="P32" s="20"/>
      <x:c r="Q32" s="20"/>
      <x:c r="R32" s="20"/>
      <x:c r="S32" s="20"/>
      <x:c r="T32" s="23"/>
      <x:c r="U32" s="20"/>
      <x:c r="V32" s="20"/>
    </x:row>
    <x:row r="33">
      <x:c r="A33" s="20"/>
      <x:c r="B33" s="20"/>
      <x:c r="C33" s="20"/>
      <x:c r="D33" s="20"/>
      <x:c r="E33" s="23"/>
      <x:c r="F33" s="20"/>
      <x:c r="G33" s="20"/>
      <x:c r="H33" s="20"/>
      <x:c r="I33" s="20"/>
      <x:c r="J33" s="20"/>
      <x:c r="K33" s="20"/>
      <x:c r="L33" s="20"/>
      <x:c r="M33" s="20"/>
      <x:c r="N33" s="20"/>
      <x:c r="O33" s="20"/>
      <x:c r="P33" s="20"/>
      <x:c r="Q33" s="20"/>
      <x:c r="R33" s="20"/>
      <x:c r="S33" s="20"/>
      <x:c r="T33" s="23"/>
      <x:c r="U33" s="20"/>
      <x:c r="V33" s="20"/>
    </x:row>
    <x:row r="34">
      <x:c r="A34" s="20"/>
      <x:c r="B34" s="20"/>
      <x:c r="C34" s="20"/>
      <x:c r="D34" s="20"/>
      <x:c r="E34" s="23"/>
      <x:c r="F34" s="20"/>
      <x:c r="G34" s="20"/>
      <x:c r="H34" s="20"/>
      <x:c r="I34" s="20"/>
      <x:c r="J34" s="20"/>
      <x:c r="K34" s="20"/>
      <x:c r="L34" s="20"/>
      <x:c r="M34" s="20"/>
      <x:c r="N34" s="20"/>
      <x:c r="O34" s="20"/>
      <x:c r="P34" s="20"/>
      <x:c r="Q34" s="20"/>
      <x:c r="R34" s="20"/>
      <x:c r="S34" s="20"/>
      <x:c r="T34" s="23"/>
      <x:c r="U34" s="20"/>
      <x:c r="V34" s="20"/>
    </x:row>
    <x:row r="35">
      <x:c r="A35" s="20"/>
      <x:c r="B35" s="20"/>
      <x:c r="C35" s="20"/>
      <x:c r="D35" s="20"/>
      <x:c r="E35" s="23"/>
      <x:c r="F35" s="20"/>
      <x:c r="G35" s="20"/>
      <x:c r="H35" s="20"/>
      <x:c r="I35" s="20"/>
      <x:c r="J35" s="20"/>
      <x:c r="K35" s="20"/>
      <x:c r="L35" s="20"/>
      <x:c r="M35" s="20"/>
      <x:c r="N35" s="20"/>
      <x:c r="O35" s="20"/>
      <x:c r="P35" s="20"/>
      <x:c r="Q35" s="20"/>
      <x:c r="R35" s="20"/>
      <x:c r="S35" s="20"/>
      <x:c r="T35" s="23"/>
      <x:c r="U35" s="20"/>
      <x:c r="V35" s="20"/>
    </x:row>
    <x:row r="36">
      <x:c r="A36" s="20"/>
      <x:c r="B36" s="20"/>
      <x:c r="C36" s="20"/>
      <x:c r="D36" s="20"/>
      <x:c r="E36" s="23"/>
      <x:c r="F36" s="20"/>
      <x:c r="G36" s="20"/>
      <x:c r="H36" s="20"/>
      <x:c r="I36" s="20"/>
      <x:c r="J36" s="20"/>
      <x:c r="K36" s="20"/>
      <x:c r="L36" s="20"/>
      <x:c r="M36" s="20"/>
      <x:c r="N36" s="20"/>
      <x:c r="O36" s="20"/>
      <x:c r="P36" s="20"/>
      <x:c r="Q36" s="20"/>
      <x:c r="R36" s="20"/>
      <x:c r="S36" s="20"/>
      <x:c r="T36" s="23"/>
      <x:c r="U36" s="20"/>
      <x:c r="V36" s="20"/>
    </x:row>
    <x:row r="37">
      <x:c r="A37" s="20"/>
      <x:c r="B37" s="20"/>
      <x:c r="C37" s="20"/>
      <x:c r="D37" s="20"/>
      <x:c r="E37" s="23"/>
      <x:c r="F37" s="20"/>
      <x:c r="G37" s="20"/>
      <x:c r="H37" s="20"/>
      <x:c r="I37" s="20"/>
      <x:c r="J37" s="20"/>
      <x:c r="K37" s="20"/>
      <x:c r="L37" s="20"/>
      <x:c r="M37" s="20"/>
      <x:c r="N37" s="20"/>
      <x:c r="O37" s="20"/>
      <x:c r="P37" s="20"/>
      <x:c r="Q37" s="20"/>
      <x:c r="R37" s="20"/>
      <x:c r="S37" s="20"/>
      <x:c r="T37" s="23"/>
      <x:c r="U37" s="20"/>
      <x:c r="V37" s="20"/>
    </x:row>
    <x:row r="38">
      <x:c r="A38" s="20"/>
      <x:c r="B38" s="20"/>
      <x:c r="C38" s="20"/>
      <x:c r="D38" s="20"/>
      <x:c r="E38" s="23"/>
      <x:c r="F38" s="20"/>
      <x:c r="G38" s="20"/>
      <x:c r="H38" s="20"/>
      <x:c r="I38" s="20"/>
      <x:c r="J38" s="20"/>
      <x:c r="K38" s="20"/>
      <x:c r="L38" s="20"/>
      <x:c r="M38" s="20"/>
      <x:c r="N38" s="20"/>
      <x:c r="O38" s="20"/>
      <x:c r="P38" s="20"/>
      <x:c r="Q38" s="20"/>
      <x:c r="R38" s="20"/>
      <x:c r="S38" s="20"/>
      <x:c r="T38" s="23"/>
      <x:c r="U38" s="20"/>
      <x:c r="V38" s="20"/>
    </x:row>
    <x:row r="39">
      <x:c r="A39" s="20"/>
      <x:c r="B39" s="20"/>
      <x:c r="C39" s="20"/>
      <x:c r="D39" s="20"/>
      <x:c r="E39" s="23"/>
      <x:c r="F39" s="20"/>
      <x:c r="G39" s="20"/>
      <x:c r="H39" s="20"/>
      <x:c r="I39" s="20"/>
      <x:c r="J39" s="20"/>
      <x:c r="K39" s="20"/>
      <x:c r="L39" s="20"/>
      <x:c r="M39" s="20"/>
      <x:c r="N39" s="20"/>
      <x:c r="O39" s="20"/>
      <x:c r="P39" s="20"/>
      <x:c r="Q39" s="20"/>
      <x:c r="R39" s="20"/>
      <x:c r="S39" s="20"/>
      <x:c r="T39" s="23"/>
      <x:c r="U39" s="20"/>
      <x:c r="V39" s="20"/>
    </x:row>
    <x:row r="40">
      <x:c r="A40" s="20"/>
      <x:c r="B40" s="20"/>
      <x:c r="C40" s="20"/>
      <x:c r="D40" s="20"/>
      <x:c r="E40" s="23"/>
      <x:c r="F40" s="20"/>
      <x:c r="G40" s="20"/>
      <x:c r="H40" s="20"/>
      <x:c r="I40" s="20"/>
      <x:c r="J40" s="20"/>
      <x:c r="K40" s="20"/>
      <x:c r="L40" s="20"/>
      <x:c r="M40" s="20"/>
      <x:c r="N40" s="20"/>
      <x:c r="O40" s="20"/>
      <x:c r="P40" s="20"/>
      <x:c r="Q40" s="20"/>
      <x:c r="R40" s="20"/>
      <x:c r="S40" s="20"/>
      <x:c r="T40" s="23"/>
      <x:c r="U40" s="20"/>
      <x:c r="V40" s="20"/>
    </x:row>
    <x:row r="41">
      <x:c r="A41" s="20"/>
      <x:c r="B41" s="20"/>
      <x:c r="C41" s="20"/>
      <x:c r="D41" s="20"/>
      <x:c r="E41" s="23"/>
      <x:c r="F41" s="20"/>
      <x:c r="G41" s="20"/>
      <x:c r="H41" s="20"/>
      <x:c r="I41" s="20"/>
      <x:c r="J41" s="20"/>
      <x:c r="K41" s="20"/>
      <x:c r="L41" s="20"/>
      <x:c r="M41" s="20"/>
      <x:c r="N41" s="20"/>
      <x:c r="O41" s="20"/>
      <x:c r="P41" s="20"/>
      <x:c r="Q41" s="20"/>
      <x:c r="R41" s="20"/>
      <x:c r="S41" s="20"/>
      <x:c r="T41" s="23"/>
      <x:c r="U41" s="20"/>
      <x:c r="V41" s="20"/>
    </x:row>
    <x:row r="42">
      <x:c r="A42" s="20"/>
      <x:c r="B42" s="20"/>
      <x:c r="C42" s="20"/>
      <x:c r="D42" s="20"/>
      <x:c r="E42" s="23"/>
      <x:c r="F42" s="20"/>
      <x:c r="G42" s="20"/>
      <x:c r="H42" s="20"/>
      <x:c r="I42" s="20"/>
      <x:c r="J42" s="20"/>
      <x:c r="K42" s="20"/>
      <x:c r="L42" s="20"/>
      <x:c r="M42" s="20"/>
      <x:c r="N42" s="20"/>
      <x:c r="O42" s="20"/>
      <x:c r="P42" s="20"/>
      <x:c r="Q42" s="20"/>
      <x:c r="R42" s="20"/>
      <x:c r="S42" s="20"/>
      <x:c r="T42" s="23"/>
      <x:c r="U42" s="20"/>
      <x:c r="V42" s="20"/>
    </x:row>
    <x:row r="43">
      <x:c r="A43" s="20"/>
      <x:c r="B43" s="20"/>
      <x:c r="C43" s="20"/>
      <x:c r="D43" s="20"/>
      <x:c r="E43" s="23"/>
      <x:c r="F43" s="20"/>
      <x:c r="G43" s="20"/>
      <x:c r="H43" s="20"/>
      <x:c r="I43" s="20"/>
      <x:c r="J43" s="20"/>
      <x:c r="K43" s="20"/>
      <x:c r="L43" s="20"/>
      <x:c r="M43" s="20"/>
      <x:c r="N43" s="20"/>
      <x:c r="O43" s="20"/>
      <x:c r="P43" s="20"/>
      <x:c r="Q43" s="20"/>
      <x:c r="R43" s="20"/>
      <x:c r="S43" s="20"/>
      <x:c r="T43" s="23"/>
      <x:c r="U43" s="20"/>
      <x:c r="V43" s="20"/>
    </x:row>
    <x:row r="44">
      <x:c r="A44" s="20"/>
      <x:c r="B44" s="20"/>
      <x:c r="C44" s="20"/>
      <x:c r="D44" s="20"/>
      <x:c r="E44" s="23"/>
      <x:c r="F44" s="20"/>
      <x:c r="G44" s="20"/>
      <x:c r="H44" s="20"/>
      <x:c r="I44" s="20"/>
      <x:c r="J44" s="20"/>
      <x:c r="K44" s="20"/>
      <x:c r="L44" s="20"/>
      <x:c r="M44" s="20"/>
      <x:c r="N44" s="20"/>
      <x:c r="O44" s="20"/>
      <x:c r="P44" s="20"/>
      <x:c r="Q44" s="20"/>
      <x:c r="R44" s="20"/>
      <x:c r="S44" s="20"/>
      <x:c r="T44" s="23"/>
      <x:c r="U44" s="20"/>
      <x:c r="V44" s="20"/>
    </x:row>
    <x:row r="45">
      <x:c r="A45" s="20"/>
      <x:c r="B45" s="20"/>
      <x:c r="C45" s="20"/>
      <x:c r="D45" s="20"/>
      <x:c r="E45" s="23"/>
      <x:c r="F45" s="20"/>
      <x:c r="G45" s="20"/>
      <x:c r="H45" s="20"/>
      <x:c r="I45" s="20"/>
      <x:c r="J45" s="20"/>
      <x:c r="K45" s="20"/>
      <x:c r="L45" s="20"/>
      <x:c r="M45" s="20"/>
      <x:c r="N45" s="20"/>
      <x:c r="O45" s="20"/>
      <x:c r="P45" s="20"/>
      <x:c r="Q45" s="20"/>
      <x:c r="R45" s="20"/>
      <x:c r="S45" s="20"/>
      <x:c r="T45" s="23"/>
      <x:c r="U45" s="20"/>
      <x:c r="V45" s="20"/>
    </x:row>
    <x:row r="46">
      <x:c r="A46" s="20"/>
      <x:c r="B46" s="20"/>
      <x:c r="C46" s="20"/>
      <x:c r="D46" s="20"/>
      <x:c r="E46" s="23"/>
      <x:c r="F46" s="20"/>
      <x:c r="G46" s="20"/>
      <x:c r="H46" s="20"/>
      <x:c r="I46" s="20"/>
      <x:c r="J46" s="20"/>
      <x:c r="K46" s="20"/>
      <x:c r="L46" s="20"/>
      <x:c r="M46" s="20"/>
      <x:c r="N46" s="20"/>
      <x:c r="O46" s="20"/>
      <x:c r="P46" s="20"/>
      <x:c r="Q46" s="20"/>
      <x:c r="R46" s="20"/>
      <x:c r="S46" s="20"/>
      <x:c r="T46" s="23"/>
      <x:c r="U46" s="20"/>
      <x:c r="V46" s="20"/>
    </x:row>
    <x:row r="47">
      <x:c r="A47" s="20"/>
      <x:c r="B47" s="20"/>
      <x:c r="C47" s="20"/>
      <x:c r="D47" s="20"/>
      <x:c r="E47" s="23"/>
      <x:c r="F47" s="20"/>
      <x:c r="G47" s="20"/>
      <x:c r="H47" s="20"/>
      <x:c r="I47" s="20"/>
      <x:c r="J47" s="20"/>
      <x:c r="K47" s="20"/>
      <x:c r="L47" s="20"/>
      <x:c r="M47" s="20"/>
      <x:c r="N47" s="20"/>
      <x:c r="O47" s="20"/>
      <x:c r="P47" s="20"/>
      <x:c r="Q47" s="20"/>
      <x:c r="R47" s="20"/>
      <x:c r="S47" s="20"/>
      <x:c r="T47" s="23"/>
      <x:c r="U47" s="20"/>
      <x:c r="V47" s="20"/>
    </x:row>
    <x:row r="48">
      <x:c r="A48" s="20"/>
      <x:c r="B48" s="20"/>
      <x:c r="C48" s="20"/>
      <x:c r="D48" s="20"/>
      <x:c r="E48" s="23"/>
      <x:c r="F48" s="20"/>
      <x:c r="G48" s="20"/>
      <x:c r="H48" s="20"/>
      <x:c r="I48" s="20"/>
      <x:c r="J48" s="20"/>
      <x:c r="K48" s="20"/>
      <x:c r="L48" s="20"/>
      <x:c r="M48" s="20"/>
      <x:c r="N48" s="20"/>
      <x:c r="O48" s="20"/>
      <x:c r="P48" s="20"/>
      <x:c r="Q48" s="20"/>
      <x:c r="R48" s="20"/>
      <x:c r="S48" s="20"/>
      <x:c r="T48" s="23"/>
      <x:c r="U48" s="20"/>
      <x:c r="V48" s="20"/>
    </x:row>
    <x:row r="49">
      <x:c r="A49" s="20"/>
      <x:c r="B49" s="20"/>
      <x:c r="C49" s="20"/>
      <x:c r="D49" s="20"/>
      <x:c r="E49" s="23"/>
      <x:c r="F49" s="20"/>
      <x:c r="G49" s="20"/>
      <x:c r="H49" s="20"/>
      <x:c r="I49" s="20"/>
      <x:c r="J49" s="20"/>
      <x:c r="K49" s="20"/>
      <x:c r="L49" s="20"/>
      <x:c r="M49" s="20"/>
      <x:c r="N49" s="20"/>
      <x:c r="O49" s="20"/>
      <x:c r="P49" s="20"/>
      <x:c r="Q49" s="20"/>
      <x:c r="R49" s="20"/>
      <x:c r="S49" s="20"/>
      <x:c r="T49" s="23"/>
      <x:c r="U49" s="20"/>
      <x:c r="V49" s="20"/>
    </x:row>
    <x:row r="50">
      <x:c r="A50" s="20"/>
      <x:c r="B50" s="20"/>
      <x:c r="C50" s="20"/>
      <x:c r="D50" s="20"/>
      <x:c r="E50" s="23"/>
      <x:c r="F50" s="20"/>
      <x:c r="G50" s="20"/>
      <x:c r="H50" s="20"/>
      <x:c r="I50" s="20"/>
      <x:c r="J50" s="20"/>
      <x:c r="K50" s="20"/>
      <x:c r="L50" s="20"/>
      <x:c r="M50" s="20"/>
      <x:c r="N50" s="20"/>
      <x:c r="O50" s="20"/>
      <x:c r="P50" s="20"/>
      <x:c r="Q50" s="20"/>
      <x:c r="R50" s="20"/>
      <x:c r="S50" s="20"/>
      <x:c r="T50" s="23"/>
      <x:c r="U50" s="20"/>
      <x:c r="V50" s="20"/>
    </x:row>
    <x:row r="51">
      <x:c r="A51" s="20"/>
      <x:c r="B51" s="20"/>
      <x:c r="C51" s="20"/>
      <x:c r="D51" s="20"/>
      <x:c r="E51" s="23"/>
      <x:c r="F51" s="20"/>
      <x:c r="G51" s="20"/>
      <x:c r="H51" s="20"/>
      <x:c r="I51" s="20"/>
      <x:c r="J51" s="20"/>
      <x:c r="K51" s="20"/>
      <x:c r="L51" s="20"/>
      <x:c r="M51" s="20"/>
      <x:c r="N51" s="20"/>
      <x:c r="O51" s="20"/>
      <x:c r="P51" s="20"/>
      <x:c r="Q51" s="20"/>
      <x:c r="R51" s="20"/>
      <x:c r="S51" s="20"/>
      <x:c r="T51" s="23"/>
      <x:c r="U51" s="20"/>
      <x:c r="V51" s="20"/>
    </x:row>
    <x:row r="52">
      <x:c r="A52" s="20"/>
      <x:c r="B52" s="20"/>
      <x:c r="C52" s="20"/>
      <x:c r="D52" s="20"/>
      <x:c r="E52" s="23"/>
      <x:c r="F52" s="20"/>
      <x:c r="G52" s="20"/>
      <x:c r="H52" s="20"/>
      <x:c r="I52" s="20"/>
      <x:c r="J52" s="20"/>
      <x:c r="K52" s="20"/>
      <x:c r="L52" s="20"/>
      <x:c r="M52" s="20"/>
      <x:c r="N52" s="20"/>
      <x:c r="O52" s="20"/>
      <x:c r="P52" s="20"/>
      <x:c r="Q52" s="20"/>
      <x:c r="R52" s="20"/>
      <x:c r="S52" s="20"/>
      <x:c r="T52" s="23"/>
      <x:c r="U52" s="20"/>
      <x:c r="V52" s="20"/>
    </x:row>
    <x:row r="53">
      <x:c r="A53" s="20"/>
      <x:c r="B53" s="20"/>
      <x:c r="C53" s="20"/>
      <x:c r="D53" s="20"/>
      <x:c r="E53" s="23"/>
      <x:c r="F53" s="20"/>
      <x:c r="G53" s="20"/>
      <x:c r="H53" s="20"/>
      <x:c r="I53" s="20"/>
      <x:c r="J53" s="20"/>
      <x:c r="K53" s="20"/>
      <x:c r="L53" s="20"/>
      <x:c r="M53" s="20"/>
      <x:c r="N53" s="20"/>
      <x:c r="O53" s="20"/>
      <x:c r="P53" s="20"/>
      <x:c r="Q53" s="20"/>
      <x:c r="R53" s="20"/>
      <x:c r="S53" s="20"/>
      <x:c r="T53" s="23"/>
      <x:c r="U53" s="20"/>
      <x:c r="V53" s="20"/>
    </x:row>
    <x:row r="54">
      <x:c r="A54" s="20"/>
      <x:c r="B54" s="20"/>
      <x:c r="C54" s="20"/>
      <x:c r="D54" s="20"/>
      <x:c r="E54" s="23"/>
      <x:c r="F54" s="20"/>
      <x:c r="G54" s="20"/>
      <x:c r="H54" s="20"/>
      <x:c r="I54" s="20"/>
      <x:c r="J54" s="20"/>
      <x:c r="K54" s="20"/>
      <x:c r="L54" s="20"/>
      <x:c r="M54" s="20"/>
      <x:c r="N54" s="20"/>
      <x:c r="O54" s="20"/>
      <x:c r="P54" s="20"/>
      <x:c r="Q54" s="20"/>
      <x:c r="R54" s="20"/>
      <x:c r="S54" s="20"/>
      <x:c r="T54" s="23"/>
      <x:c r="U54" s="20"/>
      <x:c r="V54" s="20"/>
    </x:row>
    <x:row r="55">
      <x:c r="A55" s="20"/>
      <x:c r="B55" s="20"/>
      <x:c r="C55" s="20"/>
      <x:c r="D55" s="20"/>
      <x:c r="E55" s="23"/>
      <x:c r="F55" s="20"/>
      <x:c r="G55" s="20"/>
      <x:c r="H55" s="20"/>
      <x:c r="I55" s="20"/>
      <x:c r="J55" s="20"/>
      <x:c r="K55" s="20"/>
      <x:c r="L55" s="20"/>
      <x:c r="M55" s="20"/>
      <x:c r="N55" s="20"/>
      <x:c r="O55" s="20"/>
      <x:c r="P55" s="20"/>
      <x:c r="Q55" s="20"/>
      <x:c r="R55" s="20"/>
      <x:c r="S55" s="20"/>
      <x:c r="T55" s="23"/>
      <x:c r="U55" s="20"/>
      <x:c r="V55" s="20"/>
    </x:row>
    <x:row r="56">
      <x:c r="A56" s="20"/>
      <x:c r="B56" s="20"/>
      <x:c r="C56" s="20"/>
      <x:c r="D56" s="20"/>
      <x:c r="E56" s="23"/>
      <x:c r="F56" s="20"/>
      <x:c r="G56" s="20"/>
      <x:c r="H56" s="20"/>
      <x:c r="I56" s="20"/>
      <x:c r="J56" s="20"/>
      <x:c r="K56" s="20"/>
      <x:c r="L56" s="20"/>
      <x:c r="M56" s="20"/>
      <x:c r="N56" s="20"/>
      <x:c r="O56" s="20"/>
      <x:c r="P56" s="20"/>
      <x:c r="Q56" s="20"/>
      <x:c r="R56" s="20"/>
      <x:c r="S56" s="20"/>
      <x:c r="T56" s="23"/>
      <x:c r="U56" s="20"/>
      <x:c r="V56" s="20"/>
    </x:row>
    <x:row r="57">
      <x:c r="A57" s="20"/>
      <x:c r="B57" s="20"/>
      <x:c r="C57" s="20"/>
      <x:c r="D57" s="20"/>
      <x:c r="E57" s="23"/>
      <x:c r="F57" s="20"/>
      <x:c r="G57" s="20"/>
      <x:c r="H57" s="20"/>
      <x:c r="I57" s="20"/>
      <x:c r="J57" s="20"/>
      <x:c r="K57" s="20"/>
      <x:c r="L57" s="20"/>
      <x:c r="M57" s="20"/>
      <x:c r="N57" s="20"/>
      <x:c r="O57" s="20"/>
      <x:c r="P57" s="20"/>
      <x:c r="Q57" s="20"/>
      <x:c r="R57" s="20"/>
      <x:c r="S57" s="20"/>
      <x:c r="T57" s="23"/>
      <x:c r="U57" s="20"/>
      <x:c r="V57" s="20"/>
    </x:row>
    <x:row r="58">
      <x:c r="A58" s="20"/>
      <x:c r="B58" s="20"/>
      <x:c r="C58" s="20"/>
      <x:c r="D58" s="20"/>
      <x:c r="E58" s="23"/>
      <x:c r="F58" s="20"/>
      <x:c r="G58" s="20"/>
      <x:c r="H58" s="20"/>
      <x:c r="I58" s="20"/>
      <x:c r="J58" s="20"/>
      <x:c r="K58" s="20"/>
      <x:c r="L58" s="20"/>
      <x:c r="M58" s="20"/>
      <x:c r="N58" s="20"/>
      <x:c r="O58" s="20"/>
      <x:c r="P58" s="20"/>
      <x:c r="Q58" s="20"/>
      <x:c r="R58" s="20"/>
      <x:c r="S58" s="20"/>
      <x:c r="T58" s="23"/>
      <x:c r="U58" s="20"/>
      <x:c r="V58" s="20"/>
    </x:row>
    <x:row r="59">
      <x:c r="A59" s="20"/>
      <x:c r="B59" s="20"/>
      <x:c r="C59" s="20"/>
      <x:c r="D59" s="20"/>
      <x:c r="E59" s="23"/>
      <x:c r="F59" s="20"/>
      <x:c r="G59" s="20"/>
      <x:c r="H59" s="20"/>
      <x:c r="I59" s="20"/>
      <x:c r="J59" s="20"/>
      <x:c r="K59" s="20"/>
      <x:c r="L59" s="20"/>
      <x:c r="M59" s="20"/>
      <x:c r="N59" s="20"/>
      <x:c r="O59" s="20"/>
      <x:c r="P59" s="20"/>
      <x:c r="Q59" s="20"/>
      <x:c r="R59" s="20"/>
      <x:c r="S59" s="20"/>
      <x:c r="T59" s="23"/>
      <x:c r="U59" s="20"/>
      <x:c r="V59" s="20"/>
    </x:row>
    <x:row r="60">
      <x:c r="A60" s="20"/>
      <x:c r="B60" s="20"/>
      <x:c r="C60" s="20"/>
      <x:c r="D60" s="20"/>
      <x:c r="E60" s="23"/>
      <x:c r="F60" s="20"/>
      <x:c r="G60" s="20"/>
      <x:c r="H60" s="20"/>
      <x:c r="I60" s="20"/>
      <x:c r="J60" s="20"/>
      <x:c r="K60" s="20"/>
      <x:c r="L60" s="20"/>
      <x:c r="M60" s="20"/>
      <x:c r="N60" s="20"/>
      <x:c r="O60" s="20"/>
      <x:c r="P60" s="20"/>
      <x:c r="Q60" s="20"/>
      <x:c r="R60" s="20"/>
      <x:c r="S60" s="20"/>
      <x:c r="T60" s="23"/>
      <x:c r="U60" s="20"/>
      <x:c r="V60" s="20"/>
    </x:row>
    <x:row r="61">
      <x:c r="A61" s="20"/>
      <x:c r="B61" s="20"/>
      <x:c r="C61" s="20"/>
      <x:c r="D61" s="20"/>
      <x:c r="E61" s="23"/>
      <x:c r="F61" s="20"/>
      <x:c r="G61" s="20"/>
      <x:c r="H61" s="20"/>
      <x:c r="I61" s="20"/>
      <x:c r="J61" s="20"/>
      <x:c r="K61" s="20"/>
      <x:c r="L61" s="20"/>
      <x:c r="M61" s="20"/>
      <x:c r="N61" s="20"/>
      <x:c r="O61" s="20"/>
      <x:c r="P61" s="20"/>
      <x:c r="Q61" s="20"/>
      <x:c r="R61" s="20"/>
      <x:c r="S61" s="20"/>
      <x:c r="T61" s="23"/>
      <x:c r="U61" s="20"/>
      <x:c r="V61" s="20"/>
    </x:row>
    <x:row r="62">
      <x:c r="A62" s="20"/>
      <x:c r="B62" s="20"/>
      <x:c r="C62" s="20"/>
      <x:c r="D62" s="20"/>
      <x:c r="E62" s="23"/>
      <x:c r="F62" s="20"/>
      <x:c r="G62" s="20"/>
      <x:c r="H62" s="20"/>
      <x:c r="I62" s="20"/>
      <x:c r="J62" s="20"/>
      <x:c r="K62" s="20"/>
      <x:c r="L62" s="20"/>
      <x:c r="M62" s="20"/>
      <x:c r="N62" s="20"/>
      <x:c r="O62" s="20"/>
      <x:c r="P62" s="20"/>
      <x:c r="Q62" s="20"/>
      <x:c r="R62" s="20"/>
      <x:c r="S62" s="20"/>
      <x:c r="T62" s="23"/>
      <x:c r="U62" s="20"/>
      <x:c r="V62" s="20"/>
    </x:row>
    <x:row r="63">
      <x:c r="A63" s="20"/>
      <x:c r="B63" s="20"/>
      <x:c r="C63" s="20"/>
      <x:c r="D63" s="20"/>
      <x:c r="E63" s="23"/>
      <x:c r="F63" s="20"/>
      <x:c r="G63" s="20"/>
      <x:c r="H63" s="20"/>
      <x:c r="I63" s="20"/>
      <x:c r="J63" s="20"/>
      <x:c r="K63" s="20"/>
      <x:c r="L63" s="20"/>
      <x:c r="M63" s="20"/>
      <x:c r="N63" s="20"/>
      <x:c r="O63" s="20"/>
      <x:c r="P63" s="20"/>
      <x:c r="Q63" s="20"/>
      <x:c r="R63" s="20"/>
      <x:c r="S63" s="20"/>
      <x:c r="T63" s="23"/>
      <x:c r="U63" s="20"/>
      <x:c r="V63" s="20"/>
    </x:row>
    <x:row r="64">
      <x:c r="A64" s="20"/>
      <x:c r="B64" s="20"/>
      <x:c r="C64" s="20"/>
      <x:c r="D64" s="20"/>
      <x:c r="E64" s="23"/>
      <x:c r="F64" s="20"/>
      <x:c r="G64" s="20"/>
      <x:c r="H64" s="20"/>
      <x:c r="I64" s="20"/>
      <x:c r="J64" s="20"/>
      <x:c r="K64" s="20"/>
      <x:c r="L64" s="20"/>
      <x:c r="M64" s="20"/>
      <x:c r="N64" s="20"/>
      <x:c r="O64" s="20"/>
      <x:c r="P64" s="20"/>
      <x:c r="Q64" s="20"/>
      <x:c r="R64" s="20"/>
      <x:c r="S64" s="20"/>
      <x:c r="T64" s="23"/>
      <x:c r="U64" s="20"/>
      <x:c r="V64" s="20"/>
    </x:row>
    <x:row r="65">
      <x:c r="A65" s="20"/>
      <x:c r="B65" s="20"/>
      <x:c r="C65" s="20"/>
      <x:c r="D65" s="20"/>
      <x:c r="E65" s="23"/>
      <x:c r="F65" s="20"/>
      <x:c r="G65" s="20"/>
      <x:c r="H65" s="20"/>
      <x:c r="I65" s="20"/>
      <x:c r="J65" s="20"/>
      <x:c r="K65" s="20"/>
      <x:c r="L65" s="20"/>
      <x:c r="M65" s="20"/>
      <x:c r="N65" s="20"/>
      <x:c r="O65" s="20"/>
      <x:c r="P65" s="20"/>
      <x:c r="Q65" s="20"/>
      <x:c r="R65" s="20"/>
      <x:c r="S65" s="20"/>
      <x:c r="T65" s="23"/>
      <x:c r="U65" s="20"/>
      <x:c r="V65" s="20"/>
    </x:row>
    <x:row r="66">
      <x:c r="A66" s="20"/>
      <x:c r="B66" s="20"/>
      <x:c r="C66" s="20"/>
      <x:c r="D66" s="20"/>
      <x:c r="E66" s="23"/>
      <x:c r="F66" s="20"/>
      <x:c r="G66" s="20"/>
      <x:c r="H66" s="20"/>
      <x:c r="I66" s="20"/>
      <x:c r="J66" s="20"/>
      <x:c r="K66" s="20"/>
      <x:c r="L66" s="20"/>
      <x:c r="M66" s="20"/>
      <x:c r="N66" s="20"/>
      <x:c r="O66" s="20"/>
      <x:c r="P66" s="20"/>
      <x:c r="Q66" s="20"/>
      <x:c r="R66" s="20"/>
      <x:c r="S66" s="20"/>
      <x:c r="T66" s="23"/>
      <x:c r="U66" s="20"/>
      <x:c r="V66" s="20"/>
    </x:row>
    <x:row r="67">
      <x:c r="A67" s="20"/>
      <x:c r="B67" s="20"/>
      <x:c r="C67" s="20"/>
      <x:c r="D67" s="20"/>
      <x:c r="E67" s="23"/>
      <x:c r="F67" s="20"/>
      <x:c r="G67" s="20"/>
      <x:c r="H67" s="20"/>
      <x:c r="I67" s="20"/>
      <x:c r="J67" s="20"/>
      <x:c r="K67" s="20"/>
      <x:c r="L67" s="20"/>
      <x:c r="M67" s="20"/>
      <x:c r="N67" s="20"/>
      <x:c r="O67" s="20"/>
      <x:c r="P67" s="20"/>
      <x:c r="Q67" s="20"/>
      <x:c r="R67" s="20"/>
      <x:c r="S67" s="20"/>
      <x:c r="T67" s="23"/>
      <x:c r="U67" s="20"/>
      <x:c r="V67" s="20"/>
    </x:row>
    <x:row r="68">
      <x:c r="A68" s="20"/>
      <x:c r="B68" s="20"/>
      <x:c r="C68" s="20"/>
      <x:c r="D68" s="20"/>
      <x:c r="E68" s="23"/>
      <x:c r="F68" s="20"/>
      <x:c r="G68" s="20"/>
      <x:c r="H68" s="20"/>
      <x:c r="I68" s="20"/>
      <x:c r="J68" s="20"/>
      <x:c r="K68" s="20"/>
      <x:c r="L68" s="20"/>
      <x:c r="M68" s="20"/>
      <x:c r="N68" s="20"/>
      <x:c r="O68" s="20"/>
      <x:c r="P68" s="20"/>
      <x:c r="Q68" s="20"/>
      <x:c r="R68" s="20"/>
      <x:c r="S68" s="20"/>
      <x:c r="T68" s="23"/>
      <x:c r="U68" s="20"/>
      <x:c r="V68" s="20"/>
    </x:row>
    <x:row r="69">
      <x:c r="A69" s="20"/>
      <x:c r="B69" s="20"/>
      <x:c r="C69" s="20"/>
      <x:c r="D69" s="20"/>
      <x:c r="E69" s="23"/>
      <x:c r="F69" s="20"/>
      <x:c r="G69" s="20"/>
      <x:c r="H69" s="20"/>
      <x:c r="I69" s="20"/>
      <x:c r="J69" s="20"/>
      <x:c r="K69" s="20"/>
      <x:c r="L69" s="20"/>
      <x:c r="M69" s="20"/>
      <x:c r="N69" s="20"/>
      <x:c r="O69" s="20"/>
      <x:c r="P69" s="20"/>
      <x:c r="Q69" s="20"/>
      <x:c r="R69" s="20"/>
      <x:c r="S69" s="20"/>
      <x:c r="T69" s="23"/>
      <x:c r="U69" s="20"/>
      <x:c r="V69" s="20"/>
    </x:row>
    <x:row r="70">
      <x:c r="A70" s="20"/>
      <x:c r="B70" s="20"/>
      <x:c r="C70" s="20"/>
      <x:c r="D70" s="20"/>
      <x:c r="E70" s="23"/>
      <x:c r="F70" s="20"/>
      <x:c r="G70" s="20"/>
      <x:c r="H70" s="20"/>
      <x:c r="I70" s="20"/>
      <x:c r="J70" s="20"/>
      <x:c r="K70" s="20"/>
      <x:c r="L70" s="20"/>
      <x:c r="M70" s="20"/>
      <x:c r="N70" s="20"/>
      <x:c r="O70" s="20"/>
      <x:c r="P70" s="20"/>
      <x:c r="Q70" s="20"/>
      <x:c r="R70" s="20"/>
      <x:c r="S70" s="20"/>
      <x:c r="T70" s="23"/>
      <x:c r="U70" s="20"/>
      <x:c r="V70" s="20"/>
    </x:row>
    <x:row r="71">
      <x:c r="A71" s="20"/>
      <x:c r="B71" s="20"/>
      <x:c r="C71" s="20"/>
      <x:c r="D71" s="20"/>
      <x:c r="E71" s="23"/>
      <x:c r="F71" s="20"/>
      <x:c r="G71" s="20"/>
      <x:c r="H71" s="20"/>
      <x:c r="I71" s="20"/>
      <x:c r="J71" s="20"/>
      <x:c r="K71" s="20"/>
      <x:c r="L71" s="20"/>
      <x:c r="M71" s="20"/>
      <x:c r="N71" s="20"/>
      <x:c r="O71" s="20"/>
      <x:c r="P71" s="20"/>
      <x:c r="Q71" s="20"/>
      <x:c r="R71" s="20"/>
      <x:c r="S71" s="20"/>
      <x:c r="T71" s="23"/>
      <x:c r="U71" s="20"/>
      <x:c r="V71" s="20"/>
    </x:row>
    <x:row r="72">
      <x:c r="A72" s="20"/>
      <x:c r="B72" s="20"/>
      <x:c r="C72" s="20"/>
      <x:c r="D72" s="20"/>
      <x:c r="E72" s="23"/>
      <x:c r="F72" s="20"/>
      <x:c r="G72" s="20"/>
      <x:c r="H72" s="20"/>
      <x:c r="I72" s="20"/>
      <x:c r="J72" s="20"/>
      <x:c r="K72" s="20"/>
      <x:c r="L72" s="20"/>
      <x:c r="M72" s="20"/>
      <x:c r="N72" s="20"/>
      <x:c r="O72" s="20"/>
      <x:c r="P72" s="20"/>
      <x:c r="Q72" s="20"/>
      <x:c r="R72" s="20"/>
      <x:c r="S72" s="20"/>
      <x:c r="T72" s="23"/>
      <x:c r="U72" s="20"/>
      <x:c r="V72" s="20"/>
    </x:row>
    <x:row r="73">
      <x:c r="A73" s="20"/>
      <x:c r="B73" s="20"/>
      <x:c r="C73" s="20"/>
      <x:c r="D73" s="20"/>
      <x:c r="E73" s="23"/>
      <x:c r="F73" s="20"/>
      <x:c r="G73" s="20"/>
      <x:c r="H73" s="20"/>
      <x:c r="I73" s="20"/>
      <x:c r="J73" s="20"/>
      <x:c r="K73" s="20"/>
      <x:c r="L73" s="20"/>
      <x:c r="M73" s="20"/>
      <x:c r="N73" s="20"/>
      <x:c r="O73" s="20"/>
      <x:c r="P73" s="20"/>
      <x:c r="Q73" s="20"/>
      <x:c r="R73" s="20"/>
      <x:c r="S73" s="20"/>
      <x:c r="T73" s="23"/>
      <x:c r="U73" s="20"/>
      <x:c r="V73" s="20"/>
    </x:row>
    <x:row r="74">
      <x:c r="A74" s="20"/>
      <x:c r="B74" s="20"/>
      <x:c r="C74" s="20"/>
      <x:c r="D74" s="20"/>
      <x:c r="E74" s="23"/>
      <x:c r="F74" s="20"/>
      <x:c r="G74" s="20"/>
      <x:c r="H74" s="20"/>
      <x:c r="I74" s="20"/>
      <x:c r="J74" s="20"/>
      <x:c r="K74" s="20"/>
      <x:c r="L74" s="20"/>
      <x:c r="M74" s="20"/>
      <x:c r="N74" s="20"/>
      <x:c r="O74" s="20"/>
      <x:c r="P74" s="20"/>
      <x:c r="Q74" s="20"/>
      <x:c r="R74" s="20"/>
      <x:c r="S74" s="20"/>
      <x:c r="T74" s="23"/>
      <x:c r="U74" s="20"/>
      <x:c r="V74" s="20"/>
    </x:row>
    <x:row r="75">
      <x:c r="A75" s="20"/>
      <x:c r="B75" s="20"/>
      <x:c r="C75" s="20"/>
      <x:c r="D75" s="20"/>
      <x:c r="E75" s="23"/>
      <x:c r="F75" s="20"/>
      <x:c r="G75" s="20"/>
      <x:c r="H75" s="20"/>
      <x:c r="I75" s="20"/>
      <x:c r="J75" s="20"/>
      <x:c r="K75" s="20"/>
      <x:c r="L75" s="20"/>
      <x:c r="M75" s="20"/>
      <x:c r="N75" s="20"/>
      <x:c r="O75" s="20"/>
      <x:c r="P75" s="20"/>
      <x:c r="Q75" s="20"/>
      <x:c r="R75" s="20"/>
      <x:c r="S75" s="20"/>
      <x:c r="T75" s="23"/>
      <x:c r="U75" s="20"/>
      <x:c r="V75" s="20"/>
    </x:row>
    <x:row r="76">
      <x:c r="A76" s="20"/>
      <x:c r="B76" s="20"/>
      <x:c r="C76" s="20"/>
      <x:c r="D76" s="20"/>
      <x:c r="E76" s="23"/>
      <x:c r="F76" s="20"/>
      <x:c r="G76" s="20"/>
      <x:c r="H76" s="20"/>
      <x:c r="I76" s="20"/>
      <x:c r="J76" s="20"/>
      <x:c r="K76" s="20"/>
      <x:c r="L76" s="20"/>
      <x:c r="M76" s="20"/>
      <x:c r="N76" s="20"/>
      <x:c r="O76" s="20"/>
      <x:c r="P76" s="20"/>
      <x:c r="Q76" s="20"/>
      <x:c r="R76" s="20"/>
      <x:c r="S76" s="20"/>
      <x:c r="T76" s="23"/>
      <x:c r="U76" s="20"/>
      <x:c r="V76" s="20"/>
    </x:row>
    <x:row r="77">
      <x:c r="A77" s="20"/>
      <x:c r="B77" s="20"/>
      <x:c r="C77" s="20"/>
      <x:c r="D77" s="20"/>
      <x:c r="E77" s="23"/>
      <x:c r="F77" s="20"/>
      <x:c r="G77" s="20"/>
      <x:c r="H77" s="20"/>
      <x:c r="I77" s="20"/>
      <x:c r="J77" s="20"/>
      <x:c r="K77" s="20"/>
      <x:c r="L77" s="20"/>
      <x:c r="M77" s="20"/>
      <x:c r="N77" s="20"/>
      <x:c r="O77" s="20"/>
      <x:c r="P77" s="20"/>
      <x:c r="Q77" s="20"/>
      <x:c r="R77" s="20"/>
      <x:c r="S77" s="20"/>
      <x:c r="T77" s="23"/>
      <x:c r="U77" s="20"/>
      <x:c r="V77" s="20"/>
    </x:row>
    <x:row r="78">
      <x:c r="A78" s="20"/>
      <x:c r="B78" s="20"/>
      <x:c r="C78" s="20"/>
      <x:c r="D78" s="20"/>
      <x:c r="E78" s="23"/>
      <x:c r="F78" s="20"/>
      <x:c r="G78" s="20"/>
      <x:c r="H78" s="20"/>
      <x:c r="I78" s="20"/>
      <x:c r="J78" s="20"/>
      <x:c r="K78" s="20"/>
      <x:c r="L78" s="20"/>
      <x:c r="M78" s="20"/>
      <x:c r="N78" s="20"/>
      <x:c r="O78" s="20"/>
      <x:c r="P78" s="20"/>
      <x:c r="Q78" s="20"/>
      <x:c r="R78" s="20"/>
      <x:c r="S78" s="20"/>
      <x:c r="T78" s="23"/>
      <x:c r="U78" s="20"/>
      <x:c r="V78" s="20"/>
    </x:row>
    <x:row r="79">
      <x:c r="A79" s="20"/>
      <x:c r="B79" s="20"/>
      <x:c r="C79" s="20"/>
      <x:c r="D79" s="20"/>
      <x:c r="E79" s="23"/>
      <x:c r="F79" s="20"/>
      <x:c r="G79" s="20"/>
      <x:c r="H79" s="20"/>
      <x:c r="I79" s="20"/>
      <x:c r="J79" s="20"/>
      <x:c r="K79" s="20"/>
      <x:c r="L79" s="20"/>
      <x:c r="M79" s="20"/>
      <x:c r="N79" s="20"/>
      <x:c r="O79" s="20"/>
      <x:c r="P79" s="20"/>
      <x:c r="Q79" s="20"/>
      <x:c r="R79" s="20"/>
      <x:c r="S79" s="20"/>
      <x:c r="T79" s="23"/>
      <x:c r="U79" s="20"/>
      <x:c r="V79" s="20"/>
    </x:row>
    <x:row r="80">
      <x:c r="A80" s="20"/>
      <x:c r="B80" s="20"/>
      <x:c r="C80" s="20"/>
      <x:c r="D80" s="20"/>
      <x:c r="E80" s="23"/>
      <x:c r="F80" s="20"/>
      <x:c r="G80" s="20"/>
      <x:c r="H80" s="20"/>
      <x:c r="I80" s="20"/>
      <x:c r="J80" s="20"/>
      <x:c r="K80" s="20"/>
      <x:c r="L80" s="20"/>
      <x:c r="M80" s="20"/>
      <x:c r="N80" s="20"/>
      <x:c r="O80" s="20"/>
      <x:c r="P80" s="20"/>
      <x:c r="Q80" s="20"/>
      <x:c r="R80" s="20"/>
      <x:c r="S80" s="20"/>
      <x:c r="T80" s="23"/>
      <x:c r="U80" s="20"/>
      <x:c r="V80" s="20"/>
    </x:row>
    <x:row r="81">
      <x:c r="A81" s="20"/>
      <x:c r="B81" s="20"/>
      <x:c r="C81" s="20"/>
      <x:c r="D81" s="20"/>
      <x:c r="E81" s="23"/>
      <x:c r="F81" s="20"/>
      <x:c r="G81" s="20"/>
      <x:c r="H81" s="20"/>
      <x:c r="I81" s="20"/>
      <x:c r="J81" s="20"/>
      <x:c r="K81" s="20"/>
      <x:c r="L81" s="20"/>
      <x:c r="M81" s="20"/>
      <x:c r="N81" s="20"/>
      <x:c r="O81" s="20"/>
      <x:c r="P81" s="20"/>
      <x:c r="Q81" s="20"/>
      <x:c r="R81" s="20"/>
      <x:c r="S81" s="20"/>
      <x:c r="T81" s="23"/>
      <x:c r="U81" s="20"/>
      <x:c r="V81" s="20"/>
    </x:row>
    <x:row r="82">
      <x:c r="A82" s="20"/>
      <x:c r="B82" s="20"/>
      <x:c r="C82" s="20"/>
      <x:c r="D82" s="20"/>
      <x:c r="E82" s="23"/>
      <x:c r="F82" s="20"/>
      <x:c r="G82" s="20"/>
      <x:c r="H82" s="20"/>
      <x:c r="I82" s="20"/>
      <x:c r="J82" s="20"/>
      <x:c r="K82" s="20"/>
      <x:c r="L82" s="20"/>
      <x:c r="M82" s="20"/>
      <x:c r="N82" s="20"/>
      <x:c r="O82" s="20"/>
      <x:c r="P82" s="20"/>
      <x:c r="Q82" s="20"/>
      <x:c r="R82" s="20"/>
      <x:c r="S82" s="20"/>
      <x:c r="T82" s="23"/>
      <x:c r="U82" s="20"/>
      <x:c r="V82" s="20"/>
    </x:row>
    <x:row r="83">
      <x:c r="A83" s="20"/>
      <x:c r="B83" s="20"/>
      <x:c r="C83" s="20"/>
      <x:c r="D83" s="20"/>
      <x:c r="E83" s="23"/>
      <x:c r="F83" s="20"/>
      <x:c r="G83" s="20"/>
      <x:c r="H83" s="20"/>
      <x:c r="I83" s="20"/>
      <x:c r="J83" s="20"/>
      <x:c r="K83" s="20"/>
      <x:c r="L83" s="20"/>
      <x:c r="M83" s="20"/>
      <x:c r="N83" s="20"/>
      <x:c r="O83" s="20"/>
      <x:c r="P83" s="20"/>
      <x:c r="Q83" s="20"/>
      <x:c r="R83" s="20"/>
      <x:c r="S83" s="20"/>
      <x:c r="T83" s="23"/>
      <x:c r="U83" s="20"/>
      <x:c r="V83" s="20"/>
    </x:row>
    <x:row r="84">
      <x:c r="A84" s="20"/>
      <x:c r="B84" s="20"/>
      <x:c r="C84" s="20"/>
      <x:c r="D84" s="20"/>
      <x:c r="E84" s="23"/>
      <x:c r="F84" s="20"/>
      <x:c r="G84" s="20"/>
      <x:c r="H84" s="20"/>
      <x:c r="I84" s="20"/>
      <x:c r="J84" s="20"/>
      <x:c r="K84" s="20"/>
      <x:c r="L84" s="20"/>
      <x:c r="M84" s="20"/>
      <x:c r="N84" s="20"/>
      <x:c r="O84" s="20"/>
      <x:c r="P84" s="20"/>
      <x:c r="Q84" s="20"/>
      <x:c r="R84" s="20"/>
      <x:c r="S84" s="20"/>
      <x:c r="T84" s="23"/>
      <x:c r="U84" s="20"/>
      <x:c r="V84" s="20"/>
    </x:row>
    <x:row r="85">
      <x:c r="A85" s="20"/>
      <x:c r="B85" s="20"/>
      <x:c r="C85" s="20"/>
      <x:c r="D85" s="20"/>
      <x:c r="E85" s="23"/>
      <x:c r="F85" s="20"/>
      <x:c r="G85" s="20"/>
      <x:c r="H85" s="20"/>
      <x:c r="I85" s="20"/>
      <x:c r="J85" s="20"/>
      <x:c r="K85" s="20"/>
      <x:c r="L85" s="20"/>
      <x:c r="M85" s="20"/>
      <x:c r="N85" s="20"/>
      <x:c r="O85" s="20"/>
      <x:c r="P85" s="20"/>
      <x:c r="Q85" s="20"/>
      <x:c r="R85" s="20"/>
      <x:c r="S85" s="20"/>
      <x:c r="T85" s="23"/>
      <x:c r="U85" s="20"/>
      <x:c r="V85" s="20"/>
    </x:row>
    <x:row r="86">
      <x:c r="A86" s="20"/>
      <x:c r="B86" s="20"/>
      <x:c r="C86" s="20"/>
      <x:c r="D86" s="20"/>
      <x:c r="E86" s="23"/>
      <x:c r="F86" s="20"/>
      <x:c r="G86" s="20"/>
      <x:c r="H86" s="20"/>
      <x:c r="I86" s="20"/>
      <x:c r="J86" s="20"/>
      <x:c r="K86" s="20"/>
      <x:c r="L86" s="20"/>
      <x:c r="M86" s="20"/>
      <x:c r="N86" s="20"/>
      <x:c r="O86" s="20"/>
      <x:c r="P86" s="20"/>
      <x:c r="Q86" s="20"/>
      <x:c r="R86" s="20"/>
      <x:c r="S86" s="20"/>
      <x:c r="T86" s="23"/>
      <x:c r="U86" s="20"/>
      <x:c r="V86" s="20"/>
    </x:row>
    <x:row r="87">
      <x:c r="A87" s="20"/>
      <x:c r="B87" s="20"/>
      <x:c r="C87" s="20"/>
      <x:c r="D87" s="20"/>
      <x:c r="E87" s="23"/>
      <x:c r="F87" s="20"/>
      <x:c r="G87" s="20"/>
      <x:c r="H87" s="20"/>
      <x:c r="I87" s="20"/>
      <x:c r="J87" s="20"/>
      <x:c r="K87" s="20"/>
      <x:c r="L87" s="20"/>
      <x:c r="M87" s="20"/>
      <x:c r="N87" s="20"/>
      <x:c r="O87" s="20"/>
      <x:c r="P87" s="20"/>
      <x:c r="Q87" s="20"/>
      <x:c r="R87" s="20"/>
      <x:c r="S87" s="20"/>
      <x:c r="T87" s="23"/>
      <x:c r="U87" s="20"/>
      <x:c r="V87" s="20"/>
    </x:row>
    <x:row r="88">
      <x:c r="A88" s="20"/>
      <x:c r="B88" s="20"/>
      <x:c r="C88" s="20"/>
      <x:c r="D88" s="20"/>
      <x:c r="E88" s="23"/>
      <x:c r="F88" s="20"/>
      <x:c r="G88" s="20"/>
      <x:c r="H88" s="20"/>
      <x:c r="I88" s="20"/>
      <x:c r="J88" s="20"/>
      <x:c r="K88" s="20"/>
      <x:c r="L88" s="20"/>
      <x:c r="M88" s="20"/>
      <x:c r="N88" s="20"/>
      <x:c r="O88" s="20"/>
      <x:c r="P88" s="20"/>
      <x:c r="Q88" s="20"/>
      <x:c r="R88" s="20"/>
      <x:c r="S88" s="20"/>
      <x:c r="T88" s="23"/>
      <x:c r="U88" s="20"/>
      <x:c r="V88" s="20"/>
    </x:row>
    <x:row r="89">
      <x:c r="A89" s="20"/>
      <x:c r="B89" s="20"/>
      <x:c r="C89" s="20"/>
      <x:c r="D89" s="20"/>
      <x:c r="E89" s="23"/>
      <x:c r="F89" s="20"/>
      <x:c r="G89" s="20"/>
      <x:c r="H89" s="20"/>
      <x:c r="I89" s="20"/>
      <x:c r="J89" s="20"/>
      <x:c r="K89" s="20"/>
      <x:c r="L89" s="20"/>
      <x:c r="M89" s="20"/>
      <x:c r="N89" s="20"/>
      <x:c r="O89" s="20"/>
      <x:c r="P89" s="20"/>
      <x:c r="Q89" s="20"/>
      <x:c r="R89" s="20"/>
      <x:c r="S89" s="20"/>
      <x:c r="T89" s="23"/>
      <x:c r="U89" s="20"/>
      <x:c r="V89" s="20"/>
    </x:row>
    <x:row r="90">
      <x:c r="A90" s="20"/>
      <x:c r="B90" s="20"/>
      <x:c r="C90" s="20"/>
      <x:c r="D90" s="20"/>
      <x:c r="E90" s="23"/>
      <x:c r="F90" s="20"/>
      <x:c r="G90" s="20"/>
      <x:c r="H90" s="20"/>
      <x:c r="I90" s="20"/>
      <x:c r="J90" s="20"/>
      <x:c r="K90" s="20"/>
      <x:c r="L90" s="20"/>
      <x:c r="M90" s="20"/>
      <x:c r="N90" s="20"/>
      <x:c r="O90" s="20"/>
      <x:c r="P90" s="20"/>
      <x:c r="Q90" s="20"/>
      <x:c r="R90" s="20"/>
      <x:c r="S90" s="20"/>
      <x:c r="T90" s="23"/>
      <x:c r="U90" s="20"/>
      <x:c r="V90" s="20"/>
    </x:row>
    <x:row r="91">
      <x:c r="A91" s="20"/>
      <x:c r="B91" s="20"/>
      <x:c r="C91" s="20"/>
      <x:c r="D91" s="20"/>
      <x:c r="E91" s="23"/>
      <x:c r="F91" s="20"/>
      <x:c r="G91" s="20"/>
      <x:c r="H91" s="20"/>
      <x:c r="I91" s="20"/>
      <x:c r="J91" s="20"/>
      <x:c r="K91" s="20"/>
      <x:c r="L91" s="20"/>
      <x:c r="M91" s="20"/>
      <x:c r="N91" s="20"/>
      <x:c r="O91" s="20"/>
      <x:c r="P91" s="20"/>
      <x:c r="Q91" s="20"/>
      <x:c r="R91" s="20"/>
      <x:c r="S91" s="20"/>
      <x:c r="T91" s="23"/>
      <x:c r="U91" s="20"/>
      <x:c r="V91" s="20"/>
    </x:row>
    <x:row r="92">
      <x:c r="A92" s="20"/>
      <x:c r="B92" s="20"/>
      <x:c r="C92" s="20"/>
      <x:c r="D92" s="20"/>
      <x:c r="E92" s="23"/>
      <x:c r="F92" s="20"/>
      <x:c r="G92" s="20"/>
      <x:c r="H92" s="20"/>
      <x:c r="I92" s="20"/>
      <x:c r="J92" s="20"/>
      <x:c r="K92" s="20"/>
      <x:c r="L92" s="20"/>
      <x:c r="M92" s="20"/>
      <x:c r="N92" s="20"/>
      <x:c r="O92" s="20"/>
      <x:c r="P92" s="20"/>
      <x:c r="Q92" s="20"/>
      <x:c r="R92" s="20"/>
      <x:c r="S92" s="20"/>
      <x:c r="T92" s="23"/>
      <x:c r="U92" s="20"/>
      <x:c r="V92" s="20"/>
    </x:row>
    <x:row r="93">
      <x:c r="A93" s="20"/>
      <x:c r="B93" s="20"/>
      <x:c r="C93" s="20"/>
      <x:c r="D93" s="20"/>
      <x:c r="E93" s="23"/>
      <x:c r="F93" s="20"/>
      <x:c r="G93" s="20"/>
      <x:c r="H93" s="20"/>
      <x:c r="I93" s="20"/>
      <x:c r="J93" s="20"/>
      <x:c r="K93" s="20"/>
      <x:c r="L93" s="20"/>
      <x:c r="M93" s="20"/>
      <x:c r="N93" s="20"/>
      <x:c r="O93" s="20"/>
      <x:c r="P93" s="20"/>
      <x:c r="Q93" s="20"/>
      <x:c r="R93" s="20"/>
      <x:c r="S93" s="20"/>
      <x:c r="T93" s="23"/>
      <x:c r="U93" s="20"/>
      <x:c r="V93" s="20"/>
    </x:row>
    <x:row r="94">
      <x:c r="A94" s="20"/>
      <x:c r="B94" s="20"/>
      <x:c r="C94" s="20"/>
      <x:c r="D94" s="20"/>
      <x:c r="E94" s="23"/>
      <x:c r="F94" s="20"/>
      <x:c r="G94" s="20"/>
      <x:c r="H94" s="20"/>
      <x:c r="I94" s="20"/>
      <x:c r="J94" s="20"/>
      <x:c r="K94" s="20"/>
      <x:c r="L94" s="20"/>
      <x:c r="M94" s="20"/>
      <x:c r="N94" s="20"/>
      <x:c r="O94" s="20"/>
      <x:c r="P94" s="20"/>
      <x:c r="Q94" s="20"/>
      <x:c r="R94" s="20"/>
      <x:c r="S94" s="20"/>
      <x:c r="T94" s="23"/>
      <x:c r="U94" s="20"/>
      <x:c r="V94" s="20"/>
    </x:row>
    <x:row r="95">
      <x:c r="A95" s="20"/>
      <x:c r="B95" s="20"/>
      <x:c r="C95" s="20"/>
      <x:c r="D95" s="20"/>
      <x:c r="E95" s="23"/>
      <x:c r="F95" s="20"/>
      <x:c r="G95" s="20"/>
      <x:c r="H95" s="20"/>
      <x:c r="I95" s="20"/>
      <x:c r="J95" s="20"/>
      <x:c r="K95" s="20"/>
      <x:c r="L95" s="20"/>
      <x:c r="M95" s="20"/>
      <x:c r="N95" s="20"/>
      <x:c r="O95" s="20"/>
      <x:c r="P95" s="20"/>
      <x:c r="Q95" s="20"/>
      <x:c r="R95" s="20"/>
      <x:c r="S95" s="20"/>
      <x:c r="T95" s="23"/>
      <x:c r="U95" s="20"/>
      <x:c r="V95" s="20"/>
    </x:row>
    <x:row r="96">
      <x:c r="A96" s="20"/>
      <x:c r="B96" s="20"/>
      <x:c r="C96" s="20"/>
      <x:c r="D96" s="20"/>
      <x:c r="E96" s="23"/>
      <x:c r="F96" s="20"/>
      <x:c r="G96" s="20"/>
      <x:c r="H96" s="20"/>
      <x:c r="I96" s="20"/>
      <x:c r="J96" s="20"/>
      <x:c r="K96" s="20"/>
      <x:c r="L96" s="20"/>
      <x:c r="M96" s="20"/>
      <x:c r="N96" s="20"/>
      <x:c r="O96" s="20"/>
      <x:c r="P96" s="20"/>
      <x:c r="Q96" s="20"/>
      <x:c r="R96" s="20"/>
      <x:c r="S96" s="20"/>
      <x:c r="T96" s="23"/>
      <x:c r="U96" s="20"/>
      <x:c r="V96" s="20"/>
    </x:row>
    <x:row r="97">
      <x:c r="A97" s="20"/>
      <x:c r="B97" s="20"/>
      <x:c r="C97" s="20"/>
      <x:c r="D97" s="20"/>
      <x:c r="E97" s="23"/>
      <x:c r="F97" s="20"/>
      <x:c r="G97" s="20"/>
      <x:c r="H97" s="20"/>
      <x:c r="I97" s="20"/>
      <x:c r="J97" s="20"/>
      <x:c r="K97" s="20"/>
      <x:c r="L97" s="20"/>
      <x:c r="M97" s="20"/>
      <x:c r="N97" s="20"/>
      <x:c r="O97" s="20"/>
      <x:c r="P97" s="20"/>
      <x:c r="Q97" s="20"/>
      <x:c r="R97" s="20"/>
      <x:c r="S97" s="20"/>
      <x:c r="T97" s="23"/>
      <x:c r="U97" s="20"/>
      <x:c r="V97" s="20"/>
    </x:row>
    <x:row r="98">
      <x:c r="A98" s="20"/>
      <x:c r="B98" s="20"/>
      <x:c r="C98" s="20"/>
      <x:c r="D98" s="20"/>
      <x:c r="E98" s="23"/>
      <x:c r="F98" s="20"/>
      <x:c r="G98" s="20"/>
      <x:c r="H98" s="20"/>
      <x:c r="I98" s="20"/>
      <x:c r="J98" s="20"/>
      <x:c r="K98" s="20"/>
      <x:c r="L98" s="20"/>
      <x:c r="M98" s="20"/>
      <x:c r="N98" s="20"/>
      <x:c r="O98" s="20"/>
      <x:c r="P98" s="20"/>
      <x:c r="Q98" s="20"/>
      <x:c r="R98" s="20"/>
      <x:c r="S98" s="20"/>
      <x:c r="T98" s="23"/>
      <x:c r="U98" s="20"/>
      <x:c r="V98" s="20"/>
    </x:row>
    <x:row r="99">
      <x:c r="A99" s="20"/>
      <x:c r="B99" s="20"/>
      <x:c r="C99" s="20"/>
      <x:c r="D99" s="20"/>
      <x:c r="E99" s="23"/>
      <x:c r="F99" s="20"/>
      <x:c r="G99" s="20"/>
      <x:c r="H99" s="20"/>
      <x:c r="I99" s="20"/>
      <x:c r="J99" s="20"/>
      <x:c r="K99" s="20"/>
      <x:c r="L99" s="20"/>
      <x:c r="M99" s="20"/>
      <x:c r="N99" s="20"/>
      <x:c r="O99" s="20"/>
      <x:c r="P99" s="20"/>
      <x:c r="Q99" s="20"/>
      <x:c r="R99" s="20"/>
      <x:c r="S99" s="20"/>
      <x:c r="T99" s="23"/>
      <x:c r="U99" s="20"/>
      <x:c r="V99" s="20"/>
    </x:row>
    <x:row r="100">
      <x:c r="A100" s="20"/>
      <x:c r="B100" s="20"/>
      <x:c r="C100" s="20"/>
      <x:c r="D100" s="20"/>
      <x:c r="E100" s="23"/>
      <x:c r="F100" s="20"/>
      <x:c r="G100" s="20"/>
      <x:c r="H100" s="20"/>
      <x:c r="I100" s="20"/>
      <x:c r="J100" s="20"/>
      <x:c r="K100" s="20"/>
      <x:c r="L100" s="20"/>
      <x:c r="M100" s="20"/>
      <x:c r="N100" s="20"/>
      <x:c r="O100" s="20"/>
      <x:c r="P100" s="20"/>
      <x:c r="Q100" s="20"/>
      <x:c r="R100" s="20"/>
      <x:c r="S100" s="20"/>
      <x:c r="T100" s="23"/>
      <x:c r="U100" s="20"/>
      <x:c r="V100" s="20"/>
    </x:row>
    <x:row r="101">
      <x:c r="A101" s="20"/>
      <x:c r="B101" s="20"/>
      <x:c r="C101" s="20"/>
      <x:c r="D101" s="20"/>
      <x:c r="E101" s="23"/>
      <x:c r="F101" s="20"/>
      <x:c r="G101" s="20"/>
      <x:c r="H101" s="20"/>
      <x:c r="I101" s="20"/>
      <x:c r="J101" s="20"/>
      <x:c r="K101" s="20"/>
      <x:c r="L101" s="20"/>
      <x:c r="M101" s="20"/>
      <x:c r="N101" s="20"/>
      <x:c r="O101" s="20"/>
      <x:c r="P101" s="20"/>
      <x:c r="Q101" s="20"/>
      <x:c r="R101" s="20"/>
      <x:c r="S101" s="20"/>
      <x:c r="T101" s="23"/>
      <x:c r="U101" s="20"/>
      <x:c r="V101" s="20"/>
    </x:row>
    <x:row r="102">
      <x:c r="A102" s="20"/>
      <x:c r="B102" s="20"/>
      <x:c r="C102" s="20"/>
      <x:c r="D102" s="20"/>
      <x:c r="E102" s="23"/>
      <x:c r="F102" s="20"/>
      <x:c r="G102" s="20"/>
      <x:c r="H102" s="20"/>
      <x:c r="I102" s="20"/>
      <x:c r="J102" s="20"/>
      <x:c r="K102" s="20"/>
      <x:c r="L102" s="20"/>
      <x:c r="M102" s="20"/>
      <x:c r="N102" s="20"/>
      <x:c r="O102" s="20"/>
      <x:c r="P102" s="20"/>
      <x:c r="Q102" s="20"/>
      <x:c r="R102" s="20"/>
      <x:c r="S102" s="20"/>
      <x:c r="T102" s="23"/>
      <x:c r="U102" s="20"/>
      <x:c r="V102" s="20"/>
    </x:row>
    <x:row r="103">
      <x:c r="A103" s="20"/>
      <x:c r="B103" s="20"/>
      <x:c r="C103" s="20"/>
      <x:c r="D103" s="20"/>
      <x:c r="E103" s="23"/>
      <x:c r="F103" s="20"/>
      <x:c r="G103" s="20"/>
      <x:c r="H103" s="20"/>
      <x:c r="I103" s="20"/>
      <x:c r="J103" s="20"/>
      <x:c r="K103" s="20"/>
      <x:c r="L103" s="20"/>
      <x:c r="M103" s="20"/>
      <x:c r="N103" s="20"/>
      <x:c r="O103" s="20"/>
      <x:c r="P103" s="20"/>
      <x:c r="Q103" s="20"/>
      <x:c r="R103" s="20"/>
      <x:c r="S103" s="20"/>
      <x:c r="T103" s="23"/>
      <x:c r="U103" s="20"/>
      <x:c r="V103" s="20"/>
    </x:row>
    <x:row r="104">
      <x:c r="A104" s="20"/>
      <x:c r="B104" s="20"/>
      <x:c r="C104" s="20"/>
      <x:c r="D104" s="20"/>
      <x:c r="E104" s="23"/>
      <x:c r="F104" s="20"/>
      <x:c r="G104" s="20"/>
      <x:c r="H104" s="20"/>
      <x:c r="I104" s="20"/>
      <x:c r="J104" s="20"/>
      <x:c r="K104" s="20"/>
      <x:c r="L104" s="20"/>
      <x:c r="M104" s="20"/>
      <x:c r="N104" s="20"/>
      <x:c r="O104" s="20"/>
      <x:c r="P104" s="20"/>
      <x:c r="Q104" s="20"/>
      <x:c r="R104" s="20"/>
      <x:c r="S104" s="20"/>
      <x:c r="T104" s="23"/>
      <x:c r="U104" s="20"/>
      <x:c r="V104" s="20"/>
    </x:row>
    <x:row r="105">
      <x:c r="A105" s="20"/>
      <x:c r="B105" s="20"/>
      <x:c r="C105" s="20"/>
      <x:c r="D105" s="20"/>
      <x:c r="E105" s="23"/>
      <x:c r="F105" s="20"/>
      <x:c r="G105" s="20"/>
      <x:c r="H105" s="20"/>
      <x:c r="I105" s="20"/>
      <x:c r="J105" s="20"/>
      <x:c r="K105" s="20"/>
      <x:c r="L105" s="20"/>
      <x:c r="M105" s="20"/>
      <x:c r="N105" s="20"/>
      <x:c r="O105" s="20"/>
      <x:c r="P105" s="20"/>
      <x:c r="Q105" s="20"/>
      <x:c r="R105" s="20"/>
      <x:c r="S105" s="20"/>
      <x:c r="T105" s="23"/>
      <x:c r="U105" s="20"/>
      <x:c r="V105" s="20"/>
    </x:row>
    <x:row r="106">
      <x:c r="A106" s="20"/>
      <x:c r="B106" s="20"/>
      <x:c r="C106" s="20"/>
      <x:c r="D106" s="20"/>
      <x:c r="E106" s="23"/>
      <x:c r="F106" s="20"/>
      <x:c r="G106" s="20"/>
      <x:c r="H106" s="20"/>
      <x:c r="I106" s="20"/>
      <x:c r="J106" s="20"/>
      <x:c r="K106" s="20"/>
      <x:c r="L106" s="20"/>
      <x:c r="M106" s="20"/>
      <x:c r="N106" s="20"/>
      <x:c r="O106" s="20"/>
      <x:c r="P106" s="20"/>
      <x:c r="Q106" s="20"/>
      <x:c r="R106" s="20"/>
      <x:c r="S106" s="20"/>
      <x:c r="T106" s="23"/>
      <x:c r="U106" s="20"/>
      <x:c r="V106" s="20"/>
    </x:row>
    <x:row r="107">
      <x:c r="A107" s="20"/>
      <x:c r="B107" s="20"/>
      <x:c r="C107" s="20"/>
      <x:c r="D107" s="20"/>
      <x:c r="E107" s="23"/>
      <x:c r="F107" s="20"/>
      <x:c r="G107" s="20"/>
      <x:c r="H107" s="20"/>
      <x:c r="I107" s="20"/>
      <x:c r="J107" s="20"/>
      <x:c r="K107" s="20"/>
      <x:c r="L107" s="20"/>
      <x:c r="M107" s="20"/>
      <x:c r="N107" s="20"/>
      <x:c r="O107" s="20"/>
      <x:c r="P107" s="20"/>
      <x:c r="Q107" s="20"/>
      <x:c r="R107" s="20"/>
      <x:c r="S107" s="20"/>
      <x:c r="T107" s="23"/>
      <x:c r="U107" s="20"/>
      <x:c r="V107" s="20"/>
    </x:row>
    <x:row r="108">
      <x:c r="A108" s="20"/>
      <x:c r="B108" s="20"/>
      <x:c r="C108" s="20"/>
      <x:c r="D108" s="20"/>
      <x:c r="E108" s="23"/>
      <x:c r="F108" s="20"/>
      <x:c r="G108" s="20"/>
      <x:c r="H108" s="20"/>
      <x:c r="I108" s="20"/>
      <x:c r="J108" s="20"/>
      <x:c r="K108" s="20"/>
      <x:c r="L108" s="20"/>
      <x:c r="M108" s="20"/>
      <x:c r="N108" s="20"/>
      <x:c r="O108" s="20"/>
      <x:c r="P108" s="20"/>
      <x:c r="Q108" s="20"/>
      <x:c r="R108" s="20"/>
      <x:c r="S108" s="20"/>
      <x:c r="T108" s="23"/>
      <x:c r="U108" s="20"/>
      <x:c r="V108" s="20"/>
    </x:row>
    <x:row r="109">
      <x:c r="A109" s="20"/>
      <x:c r="B109" s="20"/>
      <x:c r="C109" s="20"/>
      <x:c r="D109" s="20"/>
      <x:c r="E109" s="23"/>
      <x:c r="F109" s="20"/>
      <x:c r="G109" s="20"/>
      <x:c r="H109" s="20"/>
      <x:c r="I109" s="20"/>
      <x:c r="J109" s="20"/>
      <x:c r="K109" s="20"/>
      <x:c r="L109" s="20"/>
      <x:c r="M109" s="20"/>
      <x:c r="N109" s="20"/>
      <x:c r="O109" s="20"/>
      <x:c r="P109" s="20"/>
      <x:c r="Q109" s="20"/>
      <x:c r="R109" s="20"/>
      <x:c r="S109" s="20"/>
      <x:c r="T109" s="23"/>
      <x:c r="U109" s="20"/>
      <x:c r="V109" s="20"/>
    </x:row>
    <x:row r="110">
      <x:c r="A110" s="20"/>
      <x:c r="B110" s="20"/>
      <x:c r="C110" s="20"/>
      <x:c r="D110" s="20"/>
      <x:c r="E110" s="23"/>
      <x:c r="F110" s="20"/>
      <x:c r="G110" s="20"/>
      <x:c r="H110" s="20"/>
      <x:c r="I110" s="20"/>
      <x:c r="J110" s="20"/>
      <x:c r="K110" s="20"/>
      <x:c r="L110" s="20"/>
      <x:c r="M110" s="20"/>
      <x:c r="N110" s="20"/>
      <x:c r="O110" s="20"/>
      <x:c r="P110" s="20"/>
      <x:c r="Q110" s="20"/>
      <x:c r="R110" s="20"/>
      <x:c r="S110" s="20"/>
      <x:c r="T110" s="23"/>
      <x:c r="U110" s="20"/>
      <x:c r="V110" s="20"/>
    </x:row>
    <x:row r="111">
      <x:c r="A111" s="20"/>
      <x:c r="B111" s="20"/>
      <x:c r="C111" s="20"/>
      <x:c r="D111" s="20"/>
      <x:c r="E111" s="23"/>
      <x:c r="F111" s="20"/>
      <x:c r="G111" s="20"/>
      <x:c r="H111" s="20"/>
      <x:c r="I111" s="20"/>
      <x:c r="J111" s="20"/>
      <x:c r="K111" s="20"/>
      <x:c r="L111" s="20"/>
      <x:c r="M111" s="20"/>
      <x:c r="N111" s="20"/>
      <x:c r="O111" s="20"/>
      <x:c r="P111" s="20"/>
      <x:c r="Q111" s="20"/>
      <x:c r="R111" s="20"/>
      <x:c r="S111" s="20"/>
      <x:c r="T111" s="23"/>
      <x:c r="U111" s="20"/>
      <x:c r="V111" s="20"/>
    </x:row>
    <x:row r="112">
      <x:c r="A112" s="20"/>
      <x:c r="B112" s="20"/>
      <x:c r="C112" s="20"/>
      <x:c r="D112" s="20"/>
      <x:c r="E112" s="23"/>
      <x:c r="F112" s="20"/>
      <x:c r="G112" s="20"/>
      <x:c r="H112" s="20"/>
      <x:c r="I112" s="20"/>
      <x:c r="J112" s="20"/>
      <x:c r="K112" s="20"/>
      <x:c r="L112" s="20"/>
      <x:c r="M112" s="20"/>
      <x:c r="N112" s="20"/>
      <x:c r="O112" s="20"/>
      <x:c r="P112" s="20"/>
      <x:c r="Q112" s="20"/>
      <x:c r="R112" s="20"/>
      <x:c r="S112" s="20"/>
      <x:c r="T112" s="23"/>
      <x:c r="U112" s="20"/>
      <x:c r="V112" s="20"/>
    </x:row>
    <x:row r="113">
      <x:c r="A113" s="20"/>
      <x:c r="B113" s="20"/>
      <x:c r="C113" s="20"/>
      <x:c r="D113" s="20"/>
      <x:c r="E113" s="23"/>
      <x:c r="F113" s="20"/>
      <x:c r="G113" s="20"/>
      <x:c r="H113" s="20"/>
      <x:c r="I113" s="20"/>
      <x:c r="J113" s="20"/>
      <x:c r="K113" s="20"/>
      <x:c r="L113" s="20"/>
      <x:c r="M113" s="20"/>
      <x:c r="N113" s="20"/>
      <x:c r="O113" s="20"/>
      <x:c r="P113" s="20"/>
      <x:c r="Q113" s="20"/>
      <x:c r="R113" s="20"/>
      <x:c r="S113" s="20"/>
      <x:c r="T113" s="23"/>
      <x:c r="U113" s="20"/>
      <x:c r="V113" s="20"/>
    </x:row>
    <x:row r="114">
      <x:c r="A114" s="20"/>
      <x:c r="B114" s="20"/>
      <x:c r="C114" s="20"/>
      <x:c r="D114" s="20"/>
      <x:c r="E114" s="23"/>
      <x:c r="F114" s="20"/>
      <x:c r="G114" s="20"/>
      <x:c r="H114" s="20"/>
      <x:c r="I114" s="20"/>
      <x:c r="J114" s="20"/>
      <x:c r="K114" s="20"/>
      <x:c r="L114" s="20"/>
      <x:c r="M114" s="20"/>
      <x:c r="N114" s="20"/>
      <x:c r="O114" s="20"/>
      <x:c r="P114" s="20"/>
      <x:c r="Q114" s="20"/>
      <x:c r="R114" s="20"/>
      <x:c r="S114" s="20"/>
      <x:c r="T114" s="23"/>
      <x:c r="U114" s="20"/>
      <x:c r="V114" s="20"/>
    </x:row>
    <x:row r="115">
      <x:c r="A115" s="20"/>
      <x:c r="B115" s="20"/>
      <x:c r="C115" s="20"/>
      <x:c r="D115" s="20"/>
      <x:c r="E115" s="23"/>
      <x:c r="F115" s="20"/>
      <x:c r="G115" s="20"/>
      <x:c r="H115" s="20"/>
      <x:c r="I115" s="20"/>
      <x:c r="J115" s="20"/>
      <x:c r="K115" s="20"/>
      <x:c r="L115" s="20"/>
      <x:c r="M115" s="20"/>
      <x:c r="N115" s="20"/>
      <x:c r="O115" s="20"/>
      <x:c r="P115" s="20"/>
      <x:c r="Q115" s="20"/>
      <x:c r="R115" s="20"/>
      <x:c r="S115" s="20"/>
      <x:c r="T115" s="23"/>
      <x:c r="U115" s="20"/>
      <x:c r="V115" s="20"/>
    </x:row>
    <x:row r="116">
      <x:c r="A116" s="20"/>
      <x:c r="B116" s="20"/>
      <x:c r="C116" s="20"/>
      <x:c r="D116" s="20"/>
      <x:c r="E116" s="23"/>
      <x:c r="F116" s="20"/>
      <x:c r="G116" s="20"/>
      <x:c r="H116" s="20"/>
      <x:c r="I116" s="20"/>
      <x:c r="J116" s="20"/>
      <x:c r="K116" s="20"/>
      <x:c r="L116" s="20"/>
      <x:c r="M116" s="20"/>
      <x:c r="N116" s="20"/>
      <x:c r="O116" s="20"/>
      <x:c r="P116" s="20"/>
      <x:c r="Q116" s="20"/>
      <x:c r="R116" s="20"/>
      <x:c r="S116" s="20"/>
      <x:c r="T116" s="23"/>
      <x:c r="U116" s="20"/>
      <x:c r="V116" s="20"/>
    </x:row>
    <x:row r="117">
      <x:c r="A117" s="20"/>
      <x:c r="B117" s="20"/>
      <x:c r="C117" s="20"/>
      <x:c r="D117" s="20"/>
      <x:c r="E117" s="23"/>
      <x:c r="F117" s="20"/>
      <x:c r="G117" s="20"/>
      <x:c r="H117" s="20"/>
      <x:c r="I117" s="20"/>
      <x:c r="J117" s="20"/>
      <x:c r="K117" s="20"/>
      <x:c r="L117" s="20"/>
      <x:c r="M117" s="20"/>
      <x:c r="N117" s="20"/>
      <x:c r="O117" s="20"/>
      <x:c r="P117" s="20"/>
      <x:c r="Q117" s="20"/>
      <x:c r="R117" s="20"/>
      <x:c r="S117" s="20"/>
      <x:c r="T117" s="23"/>
      <x:c r="U117" s="20"/>
      <x:c r="V117" s="20"/>
    </x:row>
    <x:row r="118">
      <x:c r="A118" s="20"/>
      <x:c r="B118" s="20"/>
      <x:c r="C118" s="20"/>
      <x:c r="D118" s="20"/>
      <x:c r="E118" s="23"/>
      <x:c r="F118" s="20"/>
      <x:c r="G118" s="20"/>
      <x:c r="H118" s="20"/>
      <x:c r="I118" s="20"/>
      <x:c r="J118" s="20"/>
      <x:c r="K118" s="20"/>
      <x:c r="L118" s="20"/>
      <x:c r="M118" s="20"/>
      <x:c r="N118" s="20"/>
      <x:c r="O118" s="20"/>
      <x:c r="P118" s="20"/>
      <x:c r="Q118" s="20"/>
      <x:c r="R118" s="20"/>
      <x:c r="S118" s="20"/>
      <x:c r="T118" s="23"/>
      <x:c r="U118" s="20"/>
      <x:c r="V118" s="20"/>
    </x:row>
    <x:row r="119">
      <x:c r="A119" s="20"/>
      <x:c r="B119" s="20"/>
      <x:c r="C119" s="20"/>
      <x:c r="D119" s="20"/>
      <x:c r="E119" s="23"/>
      <x:c r="F119" s="20"/>
      <x:c r="G119" s="20"/>
      <x:c r="H119" s="20"/>
      <x:c r="I119" s="20"/>
      <x:c r="J119" s="20"/>
      <x:c r="K119" s="20"/>
      <x:c r="L119" s="20"/>
      <x:c r="M119" s="20"/>
      <x:c r="N119" s="20"/>
      <x:c r="O119" s="20"/>
      <x:c r="P119" s="20"/>
      <x:c r="Q119" s="20"/>
      <x:c r="R119" s="20"/>
      <x:c r="S119" s="20"/>
      <x:c r="T119" s="23"/>
      <x:c r="U119" s="20"/>
      <x:c r="V119" s="20"/>
    </x:row>
    <x:row r="120">
      <x:c r="A120" s="20"/>
      <x:c r="B120" s="20"/>
      <x:c r="C120" s="20"/>
      <x:c r="D120" s="20"/>
      <x:c r="E120" s="23"/>
      <x:c r="F120" s="20"/>
      <x:c r="G120" s="20"/>
      <x:c r="H120" s="20"/>
      <x:c r="I120" s="20"/>
      <x:c r="J120" s="20"/>
      <x:c r="K120" s="20"/>
      <x:c r="L120" s="20"/>
      <x:c r="M120" s="20"/>
      <x:c r="N120" s="20"/>
      <x:c r="O120" s="20"/>
      <x:c r="P120" s="20"/>
      <x:c r="Q120" s="20"/>
      <x:c r="R120" s="20"/>
      <x:c r="S120" s="20"/>
      <x:c r="T120" s="23"/>
      <x:c r="U120" s="20"/>
      <x:c r="V120" s="20"/>
    </x:row>
    <x:row r="121">
      <x:c r="A121" s="20"/>
      <x:c r="B121" s="20"/>
      <x:c r="C121" s="20"/>
      <x:c r="D121" s="20"/>
      <x:c r="E121" s="23"/>
      <x:c r="F121" s="20"/>
      <x:c r="G121" s="20"/>
      <x:c r="H121" s="20"/>
      <x:c r="I121" s="20"/>
      <x:c r="J121" s="20"/>
      <x:c r="K121" s="20"/>
      <x:c r="L121" s="20"/>
      <x:c r="M121" s="20"/>
      <x:c r="N121" s="20"/>
      <x:c r="O121" s="20"/>
      <x:c r="P121" s="20"/>
      <x:c r="Q121" s="20"/>
      <x:c r="R121" s="20"/>
      <x:c r="S121" s="20"/>
      <x:c r="T121" s="23"/>
      <x:c r="U121" s="20"/>
      <x:c r="V121" s="20"/>
    </x:row>
    <x:row r="122">
      <x:c r="A122" s="20"/>
      <x:c r="B122" s="20"/>
      <x:c r="C122" s="20"/>
      <x:c r="D122" s="20"/>
      <x:c r="E122" s="23"/>
      <x:c r="F122" s="20"/>
      <x:c r="G122" s="20"/>
      <x:c r="H122" s="20"/>
      <x:c r="I122" s="20"/>
      <x:c r="J122" s="20"/>
      <x:c r="K122" s="20"/>
      <x:c r="L122" s="20"/>
      <x:c r="M122" s="20"/>
      <x:c r="N122" s="20"/>
      <x:c r="O122" s="20"/>
      <x:c r="P122" s="20"/>
      <x:c r="Q122" s="20"/>
      <x:c r="R122" s="20"/>
      <x:c r="S122" s="20"/>
      <x:c r="T122" s="23"/>
      <x:c r="U122" s="20"/>
      <x:c r="V122" s="20"/>
    </x:row>
    <x:row r="123">
      <x:c r="A123" s="20"/>
      <x:c r="B123" s="20"/>
      <x:c r="C123" s="20"/>
      <x:c r="D123" s="20"/>
      <x:c r="E123" s="23"/>
      <x:c r="F123" s="20"/>
      <x:c r="G123" s="20"/>
      <x:c r="H123" s="20"/>
      <x:c r="I123" s="20"/>
      <x:c r="J123" s="20"/>
      <x:c r="K123" s="20"/>
      <x:c r="L123" s="20"/>
      <x:c r="M123" s="20"/>
      <x:c r="N123" s="20"/>
      <x:c r="O123" s="20"/>
      <x:c r="P123" s="20"/>
      <x:c r="Q123" s="20"/>
      <x:c r="R123" s="20"/>
      <x:c r="S123" s="20"/>
      <x:c r="T123" s="23"/>
      <x:c r="U123" s="20"/>
      <x:c r="V123" s="20"/>
    </x:row>
    <x:row r="124">
      <x:c r="A124" s="20"/>
      <x:c r="B124" s="20"/>
      <x:c r="C124" s="20"/>
      <x:c r="D124" s="20"/>
      <x:c r="E124" s="23"/>
      <x:c r="F124" s="20"/>
      <x:c r="G124" s="20"/>
      <x:c r="H124" s="20"/>
      <x:c r="I124" s="20"/>
      <x:c r="J124" s="20"/>
      <x:c r="K124" s="20"/>
      <x:c r="L124" s="20"/>
      <x:c r="M124" s="20"/>
      <x:c r="N124" s="20"/>
      <x:c r="O124" s="20"/>
      <x:c r="P124" s="20"/>
      <x:c r="Q124" s="20"/>
      <x:c r="R124" s="20"/>
      <x:c r="S124" s="20"/>
      <x:c r="T124" s="23"/>
      <x:c r="U124" s="20"/>
      <x:c r="V124" s="20"/>
    </x:row>
    <x:row r="125">
      <x:c r="A125" s="20"/>
      <x:c r="B125" s="20"/>
      <x:c r="C125" s="20"/>
      <x:c r="D125" s="20"/>
      <x:c r="E125" s="23"/>
      <x:c r="F125" s="20"/>
      <x:c r="G125" s="20"/>
      <x:c r="H125" s="20"/>
      <x:c r="I125" s="20"/>
      <x:c r="J125" s="20"/>
      <x:c r="K125" s="20"/>
      <x:c r="L125" s="20"/>
      <x:c r="M125" s="20"/>
      <x:c r="N125" s="20"/>
      <x:c r="O125" s="20"/>
      <x:c r="P125" s="20"/>
      <x:c r="Q125" s="20"/>
      <x:c r="R125" s="20"/>
      <x:c r="S125" s="20"/>
      <x:c r="T125" s="23"/>
      <x:c r="U125" s="20"/>
      <x:c r="V125" s="20"/>
    </x:row>
    <x:row r="126">
      <x:c r="A126" s="20"/>
      <x:c r="B126" s="20"/>
      <x:c r="C126" s="20"/>
      <x:c r="D126" s="20"/>
      <x:c r="E126" s="23"/>
      <x:c r="F126" s="20"/>
      <x:c r="G126" s="20"/>
      <x:c r="H126" s="20"/>
      <x:c r="I126" s="20"/>
      <x:c r="J126" s="20"/>
      <x:c r="K126" s="20"/>
      <x:c r="L126" s="20"/>
      <x:c r="M126" s="20"/>
      <x:c r="N126" s="20"/>
      <x:c r="O126" s="20"/>
      <x:c r="P126" s="20"/>
      <x:c r="Q126" s="20"/>
      <x:c r="R126" s="20"/>
      <x:c r="S126" s="20"/>
      <x:c r="T126" s="23"/>
      <x:c r="U126" s="20"/>
      <x:c r="V126" s="20"/>
    </x:row>
    <x:row r="127">
      <x:c r="A127" s="20"/>
      <x:c r="B127" s="20"/>
      <x:c r="C127" s="20"/>
      <x:c r="D127" s="20"/>
      <x:c r="E127" s="23"/>
      <x:c r="F127" s="20"/>
      <x:c r="G127" s="20"/>
      <x:c r="H127" s="20"/>
      <x:c r="I127" s="20"/>
      <x:c r="J127" s="20"/>
      <x:c r="K127" s="20"/>
      <x:c r="L127" s="20"/>
      <x:c r="M127" s="20"/>
      <x:c r="N127" s="20"/>
      <x:c r="O127" s="20"/>
      <x:c r="P127" s="20"/>
      <x:c r="Q127" s="20"/>
      <x:c r="R127" s="20"/>
      <x:c r="S127" s="20"/>
      <x:c r="T127" s="23"/>
      <x:c r="U127" s="20"/>
      <x:c r="V127" s="20"/>
    </x:row>
    <x:row r="128">
      <x:c r="A128" s="20"/>
      <x:c r="B128" s="20"/>
      <x:c r="C128" s="20"/>
      <x:c r="D128" s="20"/>
      <x:c r="E128" s="23"/>
      <x:c r="F128" s="20"/>
      <x:c r="G128" s="20"/>
      <x:c r="H128" s="20"/>
      <x:c r="I128" s="20"/>
      <x:c r="J128" s="20"/>
      <x:c r="K128" s="20"/>
      <x:c r="L128" s="20"/>
      <x:c r="M128" s="20"/>
      <x:c r="N128" s="20"/>
      <x:c r="O128" s="20"/>
      <x:c r="P128" s="20"/>
      <x:c r="Q128" s="20"/>
      <x:c r="R128" s="20"/>
      <x:c r="S128" s="20"/>
      <x:c r="T128" s="23"/>
      <x:c r="U128" s="20"/>
      <x:c r="V128" s="20"/>
    </x:row>
    <x:row r="129">
      <x:c r="A129" s="20"/>
      <x:c r="B129" s="20"/>
      <x:c r="C129" s="20"/>
      <x:c r="D129" s="20"/>
      <x:c r="E129" s="23"/>
      <x:c r="F129" s="20"/>
      <x:c r="G129" s="20"/>
      <x:c r="H129" s="20"/>
      <x:c r="I129" s="20"/>
      <x:c r="J129" s="20"/>
      <x:c r="K129" s="20"/>
      <x:c r="L129" s="20"/>
      <x:c r="M129" s="20"/>
      <x:c r="N129" s="20"/>
      <x:c r="O129" s="20"/>
      <x:c r="P129" s="20"/>
      <x:c r="Q129" s="20"/>
      <x:c r="R129" s="20"/>
      <x:c r="S129" s="20"/>
      <x:c r="T129" s="23"/>
      <x:c r="U129" s="20"/>
      <x:c r="V129" s="20"/>
    </x:row>
    <x:row r="130">
      <x:c r="A130" s="20"/>
      <x:c r="B130" s="20"/>
      <x:c r="C130" s="20"/>
      <x:c r="D130" s="20"/>
      <x:c r="E130" s="23"/>
      <x:c r="F130" s="20"/>
      <x:c r="G130" s="20"/>
      <x:c r="H130" s="20"/>
      <x:c r="I130" s="20"/>
      <x:c r="J130" s="20"/>
      <x:c r="K130" s="20"/>
      <x:c r="L130" s="20"/>
      <x:c r="M130" s="20"/>
      <x:c r="N130" s="20"/>
      <x:c r="O130" s="20"/>
      <x:c r="P130" s="20"/>
      <x:c r="Q130" s="20"/>
      <x:c r="R130" s="20"/>
      <x:c r="S130" s="20"/>
      <x:c r="T130" s="23"/>
      <x:c r="U130" s="20"/>
      <x:c r="V130" s="20"/>
    </x:row>
    <x:row r="131">
      <x:c r="A131" s="20"/>
      <x:c r="B131" s="20"/>
      <x:c r="C131" s="20"/>
      <x:c r="D131" s="20"/>
      <x:c r="E131" s="23"/>
      <x:c r="F131" s="20"/>
      <x:c r="G131" s="20"/>
      <x:c r="H131" s="20"/>
      <x:c r="I131" s="20"/>
      <x:c r="J131" s="20"/>
      <x:c r="K131" s="20"/>
      <x:c r="L131" s="20"/>
      <x:c r="M131" s="20"/>
      <x:c r="N131" s="20"/>
      <x:c r="O131" s="20"/>
      <x:c r="P131" s="20"/>
      <x:c r="Q131" s="20"/>
      <x:c r="R131" s="20"/>
      <x:c r="S131" s="20"/>
      <x:c r="T131" s="23"/>
      <x:c r="U131" s="20"/>
      <x:c r="V131" s="20"/>
    </x:row>
    <x:row r="132">
      <x:c r="A132" s="20"/>
      <x:c r="B132" s="20"/>
      <x:c r="C132" s="20"/>
      <x:c r="D132" s="20"/>
      <x:c r="E132" s="23"/>
      <x:c r="F132" s="20"/>
      <x:c r="G132" s="20"/>
      <x:c r="H132" s="20"/>
      <x:c r="I132" s="20"/>
      <x:c r="J132" s="20"/>
      <x:c r="K132" s="20"/>
      <x:c r="L132" s="20"/>
      <x:c r="M132" s="20"/>
      <x:c r="N132" s="20"/>
      <x:c r="O132" s="20"/>
      <x:c r="P132" s="20"/>
      <x:c r="Q132" s="20"/>
      <x:c r="R132" s="20"/>
      <x:c r="S132" s="20"/>
      <x:c r="T132" s="23"/>
      <x:c r="U132" s="20"/>
      <x:c r="V132" s="20"/>
    </x:row>
    <x:row r="133">
      <x:c r="A133" s="20"/>
      <x:c r="B133" s="20"/>
      <x:c r="C133" s="20"/>
      <x:c r="D133" s="20"/>
      <x:c r="E133" s="23"/>
      <x:c r="F133" s="20"/>
      <x:c r="G133" s="20"/>
      <x:c r="H133" s="20"/>
      <x:c r="I133" s="20"/>
      <x:c r="J133" s="20"/>
      <x:c r="K133" s="20"/>
      <x:c r="L133" s="20"/>
      <x:c r="M133" s="20"/>
      <x:c r="N133" s="20"/>
      <x:c r="O133" s="20"/>
      <x:c r="P133" s="20"/>
      <x:c r="Q133" s="20"/>
      <x:c r="R133" s="20"/>
      <x:c r="S133" s="20"/>
      <x:c r="T133" s="23"/>
      <x:c r="U133" s="20"/>
      <x:c r="V133" s="20"/>
    </x:row>
    <x:row r="134">
      <x:c r="A134" s="20"/>
      <x:c r="B134" s="20"/>
      <x:c r="C134" s="20"/>
      <x:c r="D134" s="20"/>
      <x:c r="E134" s="23"/>
      <x:c r="F134" s="20"/>
      <x:c r="G134" s="20"/>
      <x:c r="H134" s="20"/>
      <x:c r="I134" s="20"/>
      <x:c r="J134" s="20"/>
      <x:c r="K134" s="20"/>
      <x:c r="L134" s="20"/>
      <x:c r="M134" s="20"/>
      <x:c r="N134" s="20"/>
      <x:c r="O134" s="20"/>
      <x:c r="P134" s="20"/>
      <x:c r="Q134" s="20"/>
      <x:c r="R134" s="20"/>
      <x:c r="S134" s="20"/>
      <x:c r="T134" s="23"/>
      <x:c r="U134" s="20"/>
      <x:c r="V134" s="20"/>
    </x:row>
    <x:row r="135">
      <x:c r="A135" s="20"/>
      <x:c r="B135" s="20"/>
      <x:c r="C135" s="20"/>
      <x:c r="D135" s="20"/>
      <x:c r="E135" s="23"/>
      <x:c r="F135" s="20"/>
      <x:c r="G135" s="20"/>
      <x:c r="H135" s="20"/>
      <x:c r="I135" s="20"/>
      <x:c r="J135" s="20"/>
      <x:c r="K135" s="20"/>
      <x:c r="L135" s="20"/>
      <x:c r="M135" s="20"/>
      <x:c r="N135" s="20"/>
      <x:c r="O135" s="20"/>
      <x:c r="P135" s="20"/>
      <x:c r="Q135" s="20"/>
      <x:c r="R135" s="20"/>
      <x:c r="S135" s="20"/>
      <x:c r="T135" s="23"/>
      <x:c r="U135" s="20"/>
      <x:c r="V135" s="20"/>
    </x:row>
    <x:row r="136">
      <x:c r="A136" s="20"/>
      <x:c r="B136" s="20"/>
      <x:c r="C136" s="20"/>
      <x:c r="D136" s="20"/>
      <x:c r="E136" s="23"/>
      <x:c r="F136" s="20"/>
      <x:c r="G136" s="20"/>
      <x:c r="H136" s="20"/>
      <x:c r="I136" s="20"/>
      <x:c r="J136" s="20"/>
      <x:c r="K136" s="20"/>
      <x:c r="L136" s="20"/>
      <x:c r="M136" s="20"/>
      <x:c r="N136" s="20"/>
      <x:c r="O136" s="20"/>
      <x:c r="P136" s="20"/>
      <x:c r="Q136" s="20"/>
      <x:c r="R136" s="20"/>
      <x:c r="S136" s="20"/>
      <x:c r="T136" s="23"/>
      <x:c r="U136" s="20"/>
      <x:c r="V136" s="20"/>
    </x:row>
    <x:row r="137">
      <x:c r="A137" s="20"/>
      <x:c r="B137" s="20"/>
      <x:c r="C137" s="20"/>
      <x:c r="D137" s="20"/>
      <x:c r="E137" s="23"/>
      <x:c r="F137" s="20"/>
      <x:c r="G137" s="20"/>
      <x:c r="H137" s="20"/>
      <x:c r="I137" s="20"/>
      <x:c r="J137" s="20"/>
      <x:c r="K137" s="20"/>
      <x:c r="L137" s="20"/>
      <x:c r="M137" s="20"/>
      <x:c r="N137" s="20"/>
      <x:c r="O137" s="20"/>
      <x:c r="P137" s="20"/>
      <x:c r="Q137" s="20"/>
      <x:c r="R137" s="20"/>
      <x:c r="S137" s="20"/>
      <x:c r="T137" s="23"/>
      <x:c r="U137" s="20"/>
      <x:c r="V137" s="20"/>
    </x:row>
    <x:row r="138">
      <x:c r="A138" s="20"/>
      <x:c r="B138" s="20"/>
      <x:c r="C138" s="20"/>
      <x:c r="D138" s="20"/>
      <x:c r="E138" s="23"/>
      <x:c r="F138" s="20"/>
      <x:c r="G138" s="20"/>
      <x:c r="H138" s="20"/>
      <x:c r="I138" s="20"/>
      <x:c r="J138" s="20"/>
      <x:c r="K138" s="20"/>
      <x:c r="L138" s="20"/>
      <x:c r="M138" s="20"/>
      <x:c r="N138" s="20"/>
      <x:c r="O138" s="20"/>
      <x:c r="P138" s="20"/>
      <x:c r="Q138" s="20"/>
      <x:c r="R138" s="20"/>
      <x:c r="S138" s="20"/>
      <x:c r="T138" s="23"/>
      <x:c r="U138" s="20"/>
      <x:c r="V138" s="20"/>
    </x:row>
    <x:row r="139">
      <x:c r="A139" s="20"/>
      <x:c r="B139" s="20"/>
      <x:c r="C139" s="20"/>
      <x:c r="D139" s="20"/>
      <x:c r="E139" s="23"/>
      <x:c r="F139" s="20"/>
      <x:c r="G139" s="20"/>
      <x:c r="H139" s="20"/>
      <x:c r="I139" s="20"/>
      <x:c r="J139" s="20"/>
      <x:c r="K139" s="20"/>
      <x:c r="L139" s="20"/>
      <x:c r="M139" s="20"/>
      <x:c r="N139" s="20"/>
      <x:c r="O139" s="20"/>
      <x:c r="P139" s="20"/>
      <x:c r="Q139" s="20"/>
      <x:c r="R139" s="20"/>
      <x:c r="S139" s="20"/>
      <x:c r="T139" s="23"/>
      <x:c r="U139" s="20"/>
      <x:c r="V139" s="20"/>
    </x:row>
    <x:row r="140">
      <x:c r="A140" s="20"/>
      <x:c r="B140" s="20"/>
      <x:c r="C140" s="20"/>
      <x:c r="D140" s="20"/>
      <x:c r="E140" s="23"/>
      <x:c r="F140" s="20"/>
      <x:c r="G140" s="20"/>
      <x:c r="H140" s="20"/>
      <x:c r="I140" s="20"/>
      <x:c r="J140" s="20"/>
      <x:c r="K140" s="20"/>
      <x:c r="L140" s="20"/>
      <x:c r="M140" s="20"/>
      <x:c r="N140" s="20"/>
      <x:c r="O140" s="20"/>
      <x:c r="P140" s="20"/>
      <x:c r="Q140" s="20"/>
      <x:c r="R140" s="20"/>
      <x:c r="S140" s="20"/>
      <x:c r="T140" s="23"/>
      <x:c r="U140" s="20"/>
      <x:c r="V140" s="20"/>
    </x:row>
    <x:row r="141">
      <x:c r="A141" s="20"/>
      <x:c r="B141" s="20"/>
      <x:c r="C141" s="20"/>
      <x:c r="D141" s="20"/>
      <x:c r="E141" s="23"/>
      <x:c r="F141" s="20"/>
      <x:c r="G141" s="20"/>
      <x:c r="H141" s="20"/>
      <x:c r="I141" s="20"/>
      <x:c r="J141" s="20"/>
      <x:c r="K141" s="20"/>
      <x:c r="L141" s="20"/>
      <x:c r="M141" s="20"/>
      <x:c r="N141" s="20"/>
      <x:c r="O141" s="20"/>
      <x:c r="P141" s="20"/>
      <x:c r="Q141" s="20"/>
      <x:c r="R141" s="20"/>
      <x:c r="S141" s="20"/>
      <x:c r="T141" s="23"/>
      <x:c r="U141" s="20"/>
      <x:c r="V141" s="20"/>
    </x:row>
    <x:row r="142">
      <x:c r="A142" s="20"/>
      <x:c r="B142" s="20"/>
      <x:c r="C142" s="20"/>
      <x:c r="D142" s="20"/>
      <x:c r="E142" s="23"/>
      <x:c r="F142" s="20"/>
      <x:c r="G142" s="20"/>
      <x:c r="H142" s="20"/>
      <x:c r="I142" s="20"/>
      <x:c r="J142" s="20"/>
      <x:c r="K142" s="20"/>
      <x:c r="L142" s="20"/>
      <x:c r="M142" s="20"/>
      <x:c r="N142" s="20"/>
      <x:c r="O142" s="20"/>
      <x:c r="P142" s="20"/>
      <x:c r="Q142" s="20"/>
      <x:c r="R142" s="20"/>
      <x:c r="S142" s="20"/>
      <x:c r="T142" s="23"/>
      <x:c r="U142" s="20"/>
      <x:c r="V142" s="20"/>
    </x:row>
    <x:row r="143">
      <x:c r="A143" s="20"/>
      <x:c r="B143" s="20"/>
      <x:c r="C143" s="20"/>
      <x:c r="D143" s="20"/>
      <x:c r="E143" s="23"/>
      <x:c r="F143" s="20"/>
      <x:c r="G143" s="20"/>
      <x:c r="H143" s="20"/>
      <x:c r="I143" s="20"/>
      <x:c r="J143" s="20"/>
      <x:c r="K143" s="20"/>
      <x:c r="L143" s="20"/>
      <x:c r="M143" s="20"/>
      <x:c r="N143" s="20"/>
      <x:c r="O143" s="20"/>
      <x:c r="P143" s="20"/>
      <x:c r="Q143" s="20"/>
      <x:c r="R143" s="20"/>
      <x:c r="S143" s="20"/>
      <x:c r="T143" s="23"/>
      <x:c r="U143" s="20"/>
      <x:c r="V143" s="20"/>
    </x:row>
    <x:row r="144">
      <x:c r="A144" s="20"/>
      <x:c r="B144" s="20"/>
      <x:c r="C144" s="20"/>
      <x:c r="D144" s="20"/>
      <x:c r="E144" s="23"/>
      <x:c r="F144" s="20"/>
      <x:c r="G144" s="20"/>
      <x:c r="H144" s="20"/>
      <x:c r="I144" s="20"/>
      <x:c r="J144" s="20"/>
      <x:c r="K144" s="20"/>
      <x:c r="L144" s="20"/>
      <x:c r="M144" s="20"/>
      <x:c r="N144" s="20"/>
      <x:c r="O144" s="20"/>
      <x:c r="P144" s="20"/>
      <x:c r="Q144" s="20"/>
      <x:c r="R144" s="20"/>
      <x:c r="S144" s="20"/>
      <x:c r="T144" s="23"/>
      <x:c r="U144" s="20"/>
      <x:c r="V144" s="20"/>
    </x:row>
    <x:row r="145">
      <x:c r="A145" s="20"/>
      <x:c r="B145" s="20"/>
      <x:c r="C145" s="20"/>
      <x:c r="D145" s="20"/>
      <x:c r="E145" s="23"/>
      <x:c r="F145" s="20"/>
      <x:c r="G145" s="20"/>
      <x:c r="H145" s="20"/>
      <x:c r="I145" s="20"/>
      <x:c r="J145" s="20"/>
      <x:c r="K145" s="20"/>
      <x:c r="L145" s="20"/>
      <x:c r="M145" s="20"/>
      <x:c r="N145" s="20"/>
      <x:c r="O145" s="20"/>
      <x:c r="P145" s="20"/>
      <x:c r="Q145" s="20"/>
      <x:c r="R145" s="20"/>
      <x:c r="S145" s="20"/>
      <x:c r="T145" s="23"/>
      <x:c r="U145" s="20"/>
      <x:c r="V145" s="20"/>
    </x:row>
    <x:row r="146">
      <x:c r="A146" s="20"/>
      <x:c r="B146" s="20"/>
      <x:c r="C146" s="20"/>
      <x:c r="D146" s="20"/>
      <x:c r="E146" s="23"/>
      <x:c r="F146" s="20"/>
      <x:c r="G146" s="20"/>
      <x:c r="H146" s="20"/>
      <x:c r="I146" s="20"/>
      <x:c r="J146" s="20"/>
      <x:c r="K146" s="20"/>
      <x:c r="L146" s="20"/>
      <x:c r="M146" s="20"/>
      <x:c r="N146" s="20"/>
      <x:c r="O146" s="20"/>
      <x:c r="P146" s="20"/>
      <x:c r="Q146" s="20"/>
      <x:c r="R146" s="20"/>
      <x:c r="S146" s="20"/>
      <x:c r="T146" s="23"/>
      <x:c r="U146" s="20"/>
      <x:c r="V146" s="20"/>
    </x:row>
    <x:row r="147">
      <x:c r="A147" s="20"/>
      <x:c r="B147" s="20"/>
      <x:c r="C147" s="20"/>
      <x:c r="D147" s="20"/>
      <x:c r="E147" s="23"/>
      <x:c r="F147" s="20"/>
      <x:c r="G147" s="20"/>
      <x:c r="H147" s="20"/>
      <x:c r="I147" s="20"/>
      <x:c r="J147" s="20"/>
      <x:c r="K147" s="20"/>
      <x:c r="L147" s="20"/>
      <x:c r="M147" s="20"/>
      <x:c r="N147" s="20"/>
      <x:c r="O147" s="20"/>
      <x:c r="P147" s="20"/>
      <x:c r="Q147" s="20"/>
      <x:c r="R147" s="20"/>
      <x:c r="S147" s="20"/>
      <x:c r="T147" s="23"/>
      <x:c r="U147" s="20"/>
      <x:c r="V147" s="20"/>
    </x:row>
    <x:row r="148">
      <x:c r="A148" s="20"/>
      <x:c r="B148" s="20"/>
      <x:c r="C148" s="20"/>
      <x:c r="D148" s="20"/>
      <x:c r="E148" s="23"/>
      <x:c r="F148" s="20"/>
      <x:c r="G148" s="20"/>
      <x:c r="H148" s="20"/>
      <x:c r="I148" s="20"/>
      <x:c r="J148" s="20"/>
      <x:c r="K148" s="20"/>
      <x:c r="L148" s="20"/>
      <x:c r="M148" s="20"/>
      <x:c r="N148" s="20"/>
      <x:c r="O148" s="20"/>
      <x:c r="P148" s="20"/>
      <x:c r="Q148" s="20"/>
      <x:c r="R148" s="20"/>
      <x:c r="S148" s="20"/>
      <x:c r="T148" s="23"/>
      <x:c r="U148" s="20"/>
      <x:c r="V148" s="20"/>
    </x:row>
    <x:row r="149">
      <x:c r="A149" s="20"/>
      <x:c r="B149" s="20"/>
      <x:c r="C149" s="20"/>
      <x:c r="D149" s="20"/>
      <x:c r="E149" s="23"/>
      <x:c r="F149" s="20"/>
      <x:c r="G149" s="20"/>
      <x:c r="H149" s="20"/>
      <x:c r="I149" s="20"/>
      <x:c r="J149" s="20"/>
      <x:c r="K149" s="20"/>
      <x:c r="L149" s="20"/>
      <x:c r="M149" s="20"/>
      <x:c r="N149" s="20"/>
      <x:c r="O149" s="20"/>
      <x:c r="P149" s="20"/>
      <x:c r="Q149" s="20"/>
      <x:c r="R149" s="20"/>
      <x:c r="S149" s="20"/>
      <x:c r="T149" s="23"/>
      <x:c r="U149" s="20"/>
      <x:c r="V149" s="20"/>
    </x:row>
    <x:row r="150">
      <x:c r="A150" s="20"/>
      <x:c r="B150" s="20"/>
      <x:c r="C150" s="20"/>
      <x:c r="D150" s="20"/>
      <x:c r="E150" s="23"/>
      <x:c r="F150" s="20"/>
      <x:c r="G150" s="20"/>
      <x:c r="H150" s="20"/>
      <x:c r="I150" s="20"/>
      <x:c r="J150" s="20"/>
      <x:c r="K150" s="20"/>
      <x:c r="L150" s="20"/>
      <x:c r="M150" s="20"/>
      <x:c r="N150" s="20"/>
      <x:c r="O150" s="20"/>
      <x:c r="P150" s="20"/>
      <x:c r="Q150" s="20"/>
      <x:c r="R150" s="20"/>
      <x:c r="S150" s="20"/>
      <x:c r="T150" s="23"/>
      <x:c r="U150" s="20"/>
      <x:c r="V150" s="20"/>
    </x:row>
    <x:row r="151">
      <x:c r="A151" s="20"/>
      <x:c r="B151" s="20"/>
      <x:c r="C151" s="20"/>
      <x:c r="D151" s="20"/>
      <x:c r="E151" s="23"/>
      <x:c r="F151" s="20"/>
      <x:c r="G151" s="20"/>
      <x:c r="H151" s="20"/>
      <x:c r="I151" s="20"/>
      <x:c r="J151" s="20"/>
      <x:c r="K151" s="20"/>
      <x:c r="L151" s="20"/>
      <x:c r="M151" s="20"/>
      <x:c r="N151" s="20"/>
      <x:c r="O151" s="20"/>
      <x:c r="P151" s="20"/>
      <x:c r="Q151" s="20"/>
      <x:c r="R151" s="20"/>
      <x:c r="S151" s="20"/>
      <x:c r="T151" s="23"/>
      <x:c r="U151" s="20"/>
      <x:c r="V151" s="20"/>
    </x:row>
    <x:row r="152">
      <x:c r="A152" s="20"/>
      <x:c r="B152" s="20"/>
      <x:c r="C152" s="20"/>
      <x:c r="D152" s="20"/>
      <x:c r="E152" s="23"/>
      <x:c r="F152" s="20"/>
      <x:c r="G152" s="20"/>
      <x:c r="H152" s="20"/>
      <x:c r="I152" s="20"/>
      <x:c r="J152" s="20"/>
      <x:c r="K152" s="20"/>
      <x:c r="L152" s="20"/>
      <x:c r="M152" s="20"/>
      <x:c r="N152" s="20"/>
      <x:c r="O152" s="20"/>
      <x:c r="P152" s="20"/>
      <x:c r="Q152" s="20"/>
      <x:c r="R152" s="20"/>
      <x:c r="S152" s="20"/>
      <x:c r="T152" s="23"/>
      <x:c r="U152" s="20"/>
      <x:c r="V152" s="20"/>
    </x:row>
    <x:row r="153">
      <x:c r="A153" s="20"/>
      <x:c r="B153" s="20"/>
      <x:c r="C153" s="20"/>
      <x:c r="D153" s="20"/>
      <x:c r="E153" s="23"/>
      <x:c r="F153" s="20"/>
      <x:c r="G153" s="20"/>
      <x:c r="H153" s="20"/>
      <x:c r="I153" s="20"/>
      <x:c r="J153" s="20"/>
      <x:c r="K153" s="20"/>
      <x:c r="L153" s="20"/>
      <x:c r="M153" s="20"/>
      <x:c r="N153" s="20"/>
      <x:c r="O153" s="20"/>
      <x:c r="P153" s="20"/>
      <x:c r="Q153" s="20"/>
      <x:c r="R153" s="20"/>
      <x:c r="S153" s="20"/>
      <x:c r="T153" s="23"/>
      <x:c r="U153" s="20"/>
      <x:c r="V153" s="20"/>
    </x:row>
    <x:row r="154">
      <x:c r="A154" s="20"/>
      <x:c r="B154" s="20"/>
      <x:c r="C154" s="20"/>
      <x:c r="D154" s="20"/>
      <x:c r="E154" s="23"/>
      <x:c r="F154" s="20"/>
      <x:c r="G154" s="20"/>
      <x:c r="H154" s="20"/>
      <x:c r="I154" s="20"/>
      <x:c r="J154" s="20"/>
      <x:c r="K154" s="20"/>
      <x:c r="L154" s="20"/>
      <x:c r="M154" s="20"/>
      <x:c r="N154" s="20"/>
      <x:c r="O154" s="20"/>
      <x:c r="P154" s="20"/>
      <x:c r="Q154" s="20"/>
      <x:c r="R154" s="20"/>
      <x:c r="S154" s="20"/>
      <x:c r="T154" s="23"/>
      <x:c r="U154" s="20"/>
      <x:c r="V154" s="20"/>
    </x:row>
    <x:row r="155">
      <x:c r="A155" s="20"/>
      <x:c r="B155" s="20"/>
      <x:c r="C155" s="20"/>
      <x:c r="D155" s="20"/>
      <x:c r="E155" s="23"/>
      <x:c r="F155" s="20"/>
      <x:c r="G155" s="20"/>
      <x:c r="H155" s="20"/>
      <x:c r="I155" s="20"/>
      <x:c r="J155" s="20"/>
      <x:c r="K155" s="20"/>
      <x:c r="L155" s="20"/>
      <x:c r="M155" s="20"/>
      <x:c r="N155" s="20"/>
      <x:c r="O155" s="20"/>
      <x:c r="P155" s="20"/>
      <x:c r="Q155" s="20"/>
      <x:c r="R155" s="20"/>
      <x:c r="S155" s="20"/>
      <x:c r="T155" s="23"/>
      <x:c r="U155" s="20"/>
      <x:c r="V155" s="20"/>
    </x:row>
    <x:row r="156">
      <x:c r="A156" s="20"/>
      <x:c r="B156" s="20"/>
      <x:c r="C156" s="20"/>
      <x:c r="D156" s="20"/>
      <x:c r="E156" s="23"/>
      <x:c r="F156" s="20"/>
      <x:c r="G156" s="20"/>
      <x:c r="H156" s="20"/>
      <x:c r="I156" s="20"/>
      <x:c r="J156" s="20"/>
      <x:c r="K156" s="20"/>
      <x:c r="L156" s="20"/>
      <x:c r="M156" s="20"/>
      <x:c r="N156" s="20"/>
      <x:c r="O156" s="20"/>
      <x:c r="P156" s="20"/>
      <x:c r="Q156" s="20"/>
      <x:c r="R156" s="20"/>
      <x:c r="S156" s="20"/>
      <x:c r="T156" s="23"/>
      <x:c r="U156" s="20"/>
      <x:c r="V156" s="20"/>
    </x:row>
    <x:row r="157">
      <x:c r="A157" s="20"/>
      <x:c r="B157" s="20"/>
      <x:c r="C157" s="20"/>
      <x:c r="D157" s="20"/>
      <x:c r="E157" s="23"/>
      <x:c r="F157" s="20"/>
      <x:c r="G157" s="20"/>
      <x:c r="H157" s="20"/>
      <x:c r="I157" s="20"/>
      <x:c r="J157" s="20"/>
      <x:c r="K157" s="20"/>
      <x:c r="L157" s="20"/>
      <x:c r="M157" s="20"/>
      <x:c r="N157" s="20"/>
      <x:c r="O157" s="20"/>
      <x:c r="P157" s="20"/>
      <x:c r="Q157" s="20"/>
      <x:c r="R157" s="20"/>
      <x:c r="S157" s="20"/>
      <x:c r="T157" s="23"/>
      <x:c r="U157" s="20"/>
      <x:c r="V157" s="20"/>
    </x:row>
    <x:row r="158">
      <x:c r="A158" s="20"/>
      <x:c r="B158" s="20"/>
      <x:c r="C158" s="20"/>
      <x:c r="D158" s="20"/>
      <x:c r="E158" s="23"/>
      <x:c r="F158" s="20"/>
      <x:c r="G158" s="20"/>
      <x:c r="H158" s="20"/>
      <x:c r="I158" s="20"/>
      <x:c r="J158" s="20"/>
      <x:c r="K158" s="20"/>
      <x:c r="L158" s="20"/>
      <x:c r="M158" s="20"/>
      <x:c r="N158" s="20"/>
      <x:c r="O158" s="20"/>
      <x:c r="P158" s="20"/>
      <x:c r="Q158" s="20"/>
      <x:c r="R158" s="20"/>
      <x:c r="S158" s="20"/>
      <x:c r="T158" s="23"/>
      <x:c r="U158" s="20"/>
      <x:c r="V158" s="20"/>
    </x:row>
    <x:row r="159">
      <x:c r="A159" s="20"/>
      <x:c r="B159" s="20"/>
      <x:c r="C159" s="20"/>
      <x:c r="D159" s="20"/>
      <x:c r="E159" s="23"/>
      <x:c r="F159" s="20"/>
      <x:c r="G159" s="20"/>
      <x:c r="H159" s="20"/>
      <x:c r="I159" s="20"/>
      <x:c r="J159" s="20"/>
      <x:c r="K159" s="20"/>
      <x:c r="L159" s="20"/>
      <x:c r="M159" s="20"/>
      <x:c r="N159" s="20"/>
      <x:c r="O159" s="20"/>
      <x:c r="P159" s="20"/>
      <x:c r="Q159" s="20"/>
      <x:c r="R159" s="20"/>
      <x:c r="S159" s="20"/>
      <x:c r="T159" s="23"/>
      <x:c r="U159" s="20"/>
      <x:c r="V159" s="20"/>
    </x:row>
    <x:row r="160">
      <x:c r="A160" s="20"/>
      <x:c r="B160" s="20"/>
      <x:c r="C160" s="20"/>
      <x:c r="D160" s="20"/>
      <x:c r="E160" s="23"/>
      <x:c r="F160" s="20"/>
      <x:c r="G160" s="20"/>
      <x:c r="H160" s="20"/>
      <x:c r="I160" s="20"/>
      <x:c r="J160" s="20"/>
      <x:c r="K160" s="20"/>
      <x:c r="L160" s="20"/>
      <x:c r="M160" s="20"/>
      <x:c r="N160" s="20"/>
      <x:c r="O160" s="20"/>
      <x:c r="P160" s="20"/>
      <x:c r="Q160" s="20"/>
      <x:c r="R160" s="20"/>
      <x:c r="S160" s="20"/>
      <x:c r="T160" s="23"/>
      <x:c r="U160" s="20"/>
      <x:c r="V160" s="20"/>
    </x:row>
    <x:row r="161">
      <x:c r="A161" s="20"/>
      <x:c r="B161" s="20"/>
      <x:c r="C161" s="20"/>
      <x:c r="D161" s="20"/>
      <x:c r="E161" s="23"/>
      <x:c r="F161" s="20"/>
      <x:c r="G161" s="20"/>
      <x:c r="H161" s="20"/>
      <x:c r="I161" s="20"/>
      <x:c r="J161" s="20"/>
      <x:c r="K161" s="20"/>
      <x:c r="L161" s="20"/>
      <x:c r="M161" s="20"/>
      <x:c r="N161" s="20"/>
      <x:c r="O161" s="20"/>
      <x:c r="P161" s="20"/>
      <x:c r="Q161" s="20"/>
      <x:c r="R161" s="20"/>
      <x:c r="S161" s="20"/>
      <x:c r="T161" s="23"/>
      <x:c r="U161" s="20"/>
      <x:c r="V161" s="20"/>
    </x:row>
    <x:row r="162">
      <x:c r="A162" s="20"/>
      <x:c r="B162" s="20"/>
      <x:c r="C162" s="20"/>
      <x:c r="D162" s="20"/>
      <x:c r="E162" s="23"/>
      <x:c r="F162" s="20"/>
      <x:c r="G162" s="20"/>
      <x:c r="H162" s="20"/>
      <x:c r="I162" s="20"/>
      <x:c r="J162" s="20"/>
      <x:c r="K162" s="20"/>
      <x:c r="L162" s="20"/>
      <x:c r="M162" s="20"/>
      <x:c r="N162" s="20"/>
      <x:c r="O162" s="20"/>
      <x:c r="P162" s="20"/>
      <x:c r="Q162" s="20"/>
      <x:c r="R162" s="20"/>
      <x:c r="S162" s="20"/>
      <x:c r="T162" s="23"/>
      <x:c r="U162" s="20"/>
      <x:c r="V162" s="20"/>
    </x:row>
    <x:row r="163">
      <x:c r="A163" s="20"/>
      <x:c r="B163" s="20"/>
      <x:c r="C163" s="20"/>
      <x:c r="D163" s="20"/>
      <x:c r="E163" s="23"/>
      <x:c r="F163" s="20"/>
      <x:c r="G163" s="20"/>
      <x:c r="H163" s="20"/>
      <x:c r="I163" s="20"/>
      <x:c r="J163" s="20"/>
      <x:c r="K163" s="20"/>
      <x:c r="L163" s="20"/>
      <x:c r="M163" s="20"/>
      <x:c r="N163" s="20"/>
      <x:c r="O163" s="20"/>
      <x:c r="P163" s="20"/>
      <x:c r="Q163" s="20"/>
      <x:c r="R163" s="20"/>
      <x:c r="S163" s="20"/>
      <x:c r="T163" s="23"/>
      <x:c r="U163" s="20"/>
      <x:c r="V163" s="20"/>
    </x:row>
    <x:row r="164">
      <x:c r="A164" s="20"/>
      <x:c r="B164" s="20"/>
      <x:c r="C164" s="20"/>
      <x:c r="D164" s="20"/>
      <x:c r="E164" s="23"/>
      <x:c r="F164" s="20"/>
      <x:c r="G164" s="20"/>
      <x:c r="H164" s="20"/>
      <x:c r="I164" s="20"/>
      <x:c r="J164" s="20"/>
      <x:c r="K164" s="20"/>
      <x:c r="L164" s="20"/>
      <x:c r="M164" s="20"/>
      <x:c r="N164" s="20"/>
      <x:c r="O164" s="20"/>
      <x:c r="P164" s="20"/>
      <x:c r="Q164" s="20"/>
      <x:c r="R164" s="20"/>
      <x:c r="S164" s="20"/>
      <x:c r="T164" s="23"/>
      <x:c r="U164" s="20"/>
      <x:c r="V164" s="20"/>
    </x:row>
    <x:row r="165">
      <x:c r="A165" s="20"/>
      <x:c r="B165" s="20"/>
      <x:c r="C165" s="20"/>
      <x:c r="D165" s="20"/>
      <x:c r="E165" s="23"/>
      <x:c r="F165" s="20"/>
      <x:c r="G165" s="20"/>
      <x:c r="H165" s="20"/>
      <x:c r="I165" s="20"/>
      <x:c r="J165" s="20"/>
      <x:c r="K165" s="20"/>
      <x:c r="L165" s="20"/>
      <x:c r="M165" s="20"/>
      <x:c r="N165" s="20"/>
      <x:c r="O165" s="20"/>
      <x:c r="P165" s="20"/>
      <x:c r="Q165" s="20"/>
      <x:c r="R165" s="20"/>
      <x:c r="S165" s="20"/>
      <x:c r="T165" s="23"/>
      <x:c r="U165" s="20"/>
      <x:c r="V165" s="20"/>
    </x:row>
    <x:row r="166">
      <x:c r="A166" s="20"/>
      <x:c r="B166" s="20"/>
      <x:c r="C166" s="20"/>
      <x:c r="D166" s="20"/>
      <x:c r="E166" s="23"/>
      <x:c r="F166" s="20"/>
      <x:c r="G166" s="20"/>
      <x:c r="H166" s="20"/>
      <x:c r="I166" s="20"/>
      <x:c r="J166" s="20"/>
      <x:c r="K166" s="20"/>
      <x:c r="L166" s="20"/>
      <x:c r="M166" s="20"/>
      <x:c r="N166" s="20"/>
      <x:c r="O166" s="20"/>
      <x:c r="P166" s="20"/>
      <x:c r="Q166" s="20"/>
      <x:c r="R166" s="20"/>
      <x:c r="S166" s="20"/>
      <x:c r="T166" s="23"/>
      <x:c r="U166" s="20"/>
      <x:c r="V166" s="20"/>
    </x:row>
    <x:row r="167">
      <x:c r="A167" s="20"/>
      <x:c r="B167" s="20"/>
      <x:c r="C167" s="20"/>
      <x:c r="D167" s="20"/>
      <x:c r="E167" s="23"/>
      <x:c r="F167" s="20"/>
      <x:c r="G167" s="20"/>
      <x:c r="H167" s="20"/>
      <x:c r="I167" s="20"/>
      <x:c r="J167" s="20"/>
      <x:c r="K167" s="20"/>
      <x:c r="L167" s="20"/>
      <x:c r="M167" s="20"/>
      <x:c r="N167" s="20"/>
      <x:c r="O167" s="20"/>
      <x:c r="P167" s="20"/>
      <x:c r="Q167" s="20"/>
      <x:c r="R167" s="20"/>
      <x:c r="S167" s="20"/>
      <x:c r="T167" s="23"/>
      <x:c r="U167" s="20"/>
      <x:c r="V167" s="20"/>
    </x:row>
    <x:row r="168">
      <x:c r="A168" s="20"/>
      <x:c r="B168" s="20"/>
      <x:c r="C168" s="20"/>
      <x:c r="D168" s="20"/>
      <x:c r="E168" s="23"/>
      <x:c r="F168" s="20"/>
      <x:c r="G168" s="20"/>
      <x:c r="H168" s="20"/>
      <x:c r="I168" s="20"/>
      <x:c r="J168" s="20"/>
      <x:c r="K168" s="20"/>
      <x:c r="L168" s="20"/>
      <x:c r="M168" s="20"/>
      <x:c r="N168" s="20"/>
      <x:c r="O168" s="20"/>
      <x:c r="P168" s="20"/>
      <x:c r="Q168" s="20"/>
      <x:c r="R168" s="20"/>
      <x:c r="S168" s="20"/>
      <x:c r="T168" s="23"/>
      <x:c r="U168" s="20"/>
      <x:c r="V168" s="20"/>
    </x:row>
    <x:row r="169">
      <x:c r="A169" s="20"/>
      <x:c r="B169" s="20"/>
      <x:c r="C169" s="20"/>
      <x:c r="D169" s="20"/>
      <x:c r="E169" s="23"/>
      <x:c r="F169" s="20"/>
      <x:c r="G169" s="20"/>
      <x:c r="H169" s="20"/>
      <x:c r="I169" s="20"/>
      <x:c r="J169" s="20"/>
      <x:c r="K169" s="20"/>
      <x:c r="L169" s="20"/>
      <x:c r="M169" s="20"/>
      <x:c r="N169" s="20"/>
      <x:c r="O169" s="20"/>
      <x:c r="P169" s="20"/>
      <x:c r="Q169" s="20"/>
      <x:c r="R169" s="20"/>
      <x:c r="S169" s="20"/>
      <x:c r="T169" s="23"/>
      <x:c r="U169" s="20"/>
      <x:c r="V169" s="20"/>
    </x:row>
    <x:row r="170">
      <x:c r="A170" s="20"/>
      <x:c r="B170" s="20"/>
      <x:c r="C170" s="20"/>
      <x:c r="D170" s="20"/>
      <x:c r="E170" s="23"/>
      <x:c r="F170" s="20"/>
      <x:c r="G170" s="20"/>
      <x:c r="H170" s="20"/>
      <x:c r="I170" s="20"/>
      <x:c r="J170" s="20"/>
      <x:c r="K170" s="20"/>
      <x:c r="L170" s="20"/>
      <x:c r="M170" s="20"/>
      <x:c r="N170" s="20"/>
      <x:c r="O170" s="20"/>
      <x:c r="P170" s="20"/>
      <x:c r="Q170" s="20"/>
      <x:c r="R170" s="20"/>
      <x:c r="S170" s="20"/>
      <x:c r="T170" s="23"/>
      <x:c r="U170" s="20"/>
      <x:c r="V170" s="20"/>
    </x:row>
    <x:row r="171">
      <x:c r="A171" s="20"/>
      <x:c r="B171" s="20"/>
      <x:c r="C171" s="20"/>
      <x:c r="D171" s="20"/>
      <x:c r="E171" s="23"/>
      <x:c r="F171" s="20"/>
      <x:c r="G171" s="20"/>
      <x:c r="H171" s="20"/>
      <x:c r="I171" s="20"/>
      <x:c r="J171" s="20"/>
      <x:c r="K171" s="20"/>
      <x:c r="L171" s="20"/>
      <x:c r="M171" s="20"/>
      <x:c r="N171" s="20"/>
      <x:c r="O171" s="20"/>
      <x:c r="P171" s="20"/>
      <x:c r="Q171" s="20"/>
      <x:c r="R171" s="20"/>
      <x:c r="S171" s="20"/>
      <x:c r="T171" s="23"/>
      <x:c r="U171" s="20"/>
      <x:c r="V171" s="20"/>
    </x:row>
    <x:row r="172">
      <x:c r="A172" s="20"/>
      <x:c r="B172" s="20"/>
      <x:c r="C172" s="20"/>
      <x:c r="D172" s="20"/>
      <x:c r="E172" s="23"/>
      <x:c r="F172" s="20"/>
      <x:c r="G172" s="20"/>
      <x:c r="H172" s="20"/>
      <x:c r="I172" s="20"/>
      <x:c r="J172" s="20"/>
      <x:c r="K172" s="20"/>
      <x:c r="L172" s="20"/>
      <x:c r="M172" s="20"/>
      <x:c r="N172" s="20"/>
      <x:c r="O172" s="20"/>
      <x:c r="P172" s="20"/>
      <x:c r="Q172" s="20"/>
      <x:c r="R172" s="20"/>
      <x:c r="S172" s="20"/>
      <x:c r="T172" s="23"/>
      <x:c r="U172" s="20"/>
      <x:c r="V172" s="20"/>
    </x:row>
    <x:row r="173">
      <x:c r="A173" s="20"/>
      <x:c r="B173" s="20"/>
      <x:c r="C173" s="20"/>
      <x:c r="D173" s="20"/>
      <x:c r="E173" s="23"/>
      <x:c r="F173" s="20"/>
      <x:c r="G173" s="20"/>
      <x:c r="H173" s="20"/>
      <x:c r="I173" s="20"/>
      <x:c r="J173" s="20"/>
      <x:c r="K173" s="20"/>
      <x:c r="L173" s="20"/>
      <x:c r="M173" s="20"/>
      <x:c r="N173" s="20"/>
      <x:c r="O173" s="20"/>
      <x:c r="P173" s="20"/>
      <x:c r="Q173" s="20"/>
      <x:c r="R173" s="20"/>
      <x:c r="S173" s="20"/>
      <x:c r="T173" s="23"/>
      <x:c r="U173" s="20"/>
      <x:c r="V173" s="20"/>
    </x:row>
    <x:row r="174">
      <x:c r="A174" s="20"/>
      <x:c r="B174" s="20"/>
      <x:c r="C174" s="20"/>
      <x:c r="D174" s="20"/>
      <x:c r="E174" s="23"/>
      <x:c r="F174" s="20"/>
      <x:c r="G174" s="20"/>
      <x:c r="H174" s="20"/>
      <x:c r="I174" s="20"/>
      <x:c r="J174" s="20"/>
      <x:c r="K174" s="20"/>
      <x:c r="L174" s="20"/>
      <x:c r="M174" s="20"/>
      <x:c r="N174" s="20"/>
      <x:c r="O174" s="20"/>
      <x:c r="P174" s="20"/>
      <x:c r="Q174" s="20"/>
      <x:c r="R174" s="20"/>
      <x:c r="S174" s="20"/>
      <x:c r="T174" s="23"/>
      <x:c r="U174" s="20"/>
      <x:c r="V174" s="20"/>
    </x:row>
    <x:row r="175">
      <x:c r="A175" s="20"/>
      <x:c r="B175" s="20"/>
      <x:c r="C175" s="20"/>
      <x:c r="D175" s="20"/>
      <x:c r="E175" s="23"/>
      <x:c r="F175" s="20"/>
      <x:c r="G175" s="20"/>
      <x:c r="H175" s="20"/>
      <x:c r="I175" s="20"/>
      <x:c r="J175" s="20"/>
      <x:c r="K175" s="20"/>
      <x:c r="L175" s="20"/>
      <x:c r="M175" s="20"/>
      <x:c r="N175" s="20"/>
      <x:c r="O175" s="20"/>
      <x:c r="P175" s="20"/>
      <x:c r="Q175" s="20"/>
      <x:c r="R175" s="20"/>
      <x:c r="S175" s="20"/>
      <x:c r="T175" s="23"/>
      <x:c r="U175" s="20"/>
      <x:c r="V175" s="20"/>
    </x:row>
    <x:row r="176">
      <x:c r="A176" s="20"/>
      <x:c r="B176" s="20"/>
      <x:c r="C176" s="20"/>
      <x:c r="D176" s="20"/>
      <x:c r="E176" s="23"/>
      <x:c r="F176" s="20"/>
      <x:c r="G176" s="20"/>
      <x:c r="H176" s="20"/>
      <x:c r="I176" s="20"/>
      <x:c r="J176" s="20"/>
      <x:c r="K176" s="20"/>
      <x:c r="L176" s="20"/>
      <x:c r="M176" s="20"/>
      <x:c r="N176" s="20"/>
      <x:c r="O176" s="20"/>
      <x:c r="P176" s="20"/>
      <x:c r="Q176" s="20"/>
      <x:c r="R176" s="20"/>
      <x:c r="S176" s="20"/>
      <x:c r="T176" s="23"/>
      <x:c r="U176" s="20"/>
      <x:c r="V176" s="20"/>
    </x:row>
    <x:row r="177">
      <x:c r="A177" s="20"/>
      <x:c r="B177" s="20"/>
      <x:c r="C177" s="20"/>
      <x:c r="D177" s="20"/>
      <x:c r="E177" s="23"/>
      <x:c r="F177" s="20"/>
      <x:c r="G177" s="20"/>
      <x:c r="H177" s="20"/>
      <x:c r="I177" s="20"/>
      <x:c r="J177" s="20"/>
      <x:c r="K177" s="20"/>
      <x:c r="L177" s="20"/>
      <x:c r="M177" s="20"/>
      <x:c r="N177" s="20"/>
      <x:c r="O177" s="20"/>
      <x:c r="P177" s="20"/>
      <x:c r="Q177" s="20"/>
      <x:c r="R177" s="20"/>
      <x:c r="S177" s="20"/>
      <x:c r="T177" s="23"/>
      <x:c r="U177" s="20"/>
      <x:c r="V177" s="20"/>
    </x:row>
    <x:row r="178">
      <x:c r="A178" s="20"/>
      <x:c r="B178" s="20"/>
      <x:c r="C178" s="20"/>
      <x:c r="D178" s="20"/>
      <x:c r="E178" s="23"/>
      <x:c r="F178" s="20"/>
      <x:c r="G178" s="20"/>
      <x:c r="H178" s="20"/>
      <x:c r="I178" s="20"/>
      <x:c r="J178" s="20"/>
      <x:c r="K178" s="20"/>
      <x:c r="L178" s="20"/>
      <x:c r="M178" s="20"/>
      <x:c r="N178" s="20"/>
      <x:c r="O178" s="20"/>
      <x:c r="P178" s="20"/>
      <x:c r="Q178" s="20"/>
      <x:c r="R178" s="20"/>
      <x:c r="S178" s="20"/>
      <x:c r="T178" s="23"/>
      <x:c r="U178" s="20"/>
      <x:c r="V178" s="20"/>
    </x:row>
    <x:row r="179">
      <x:c r="A179" s="20"/>
      <x:c r="B179" s="20"/>
      <x:c r="C179" s="20"/>
      <x:c r="D179" s="20"/>
      <x:c r="E179" s="23"/>
      <x:c r="F179" s="20"/>
      <x:c r="G179" s="20"/>
      <x:c r="H179" s="20"/>
      <x:c r="I179" s="20"/>
      <x:c r="J179" s="20"/>
      <x:c r="K179" s="20"/>
      <x:c r="L179" s="20"/>
      <x:c r="M179" s="20"/>
      <x:c r="N179" s="20"/>
      <x:c r="O179" s="20"/>
      <x:c r="P179" s="20"/>
      <x:c r="Q179" s="20"/>
      <x:c r="R179" s="20"/>
      <x:c r="S179" s="20"/>
      <x:c r="T179" s="23"/>
      <x:c r="U179" s="20"/>
      <x:c r="V179" s="20"/>
    </x:row>
    <x:row r="180">
      <x:c r="A180" s="20"/>
      <x:c r="B180" s="20"/>
      <x:c r="C180" s="20"/>
      <x:c r="D180" s="20"/>
      <x:c r="E180" s="23"/>
      <x:c r="F180" s="20"/>
      <x:c r="G180" s="20"/>
      <x:c r="H180" s="20"/>
      <x:c r="I180" s="20"/>
      <x:c r="J180" s="20"/>
      <x:c r="K180" s="20"/>
      <x:c r="L180" s="20"/>
      <x:c r="M180" s="20"/>
      <x:c r="N180" s="20"/>
      <x:c r="O180" s="20"/>
      <x:c r="P180" s="20"/>
      <x:c r="Q180" s="20"/>
      <x:c r="R180" s="20"/>
      <x:c r="S180" s="20"/>
      <x:c r="T180" s="23"/>
      <x:c r="U180" s="20"/>
      <x:c r="V180" s="20"/>
    </x:row>
    <x:row r="181">
      <x:c r="A181" s="20"/>
      <x:c r="B181" s="20"/>
      <x:c r="C181" s="20"/>
      <x:c r="D181" s="20"/>
      <x:c r="E181" s="23"/>
      <x:c r="F181" s="20"/>
      <x:c r="G181" s="20"/>
      <x:c r="H181" s="20"/>
      <x:c r="I181" s="20"/>
      <x:c r="J181" s="20"/>
      <x:c r="K181" s="20"/>
      <x:c r="L181" s="20"/>
      <x:c r="M181" s="20"/>
      <x:c r="N181" s="20"/>
      <x:c r="O181" s="20"/>
      <x:c r="P181" s="20"/>
      <x:c r="Q181" s="20"/>
      <x:c r="R181" s="20"/>
      <x:c r="S181" s="20"/>
      <x:c r="T181" s="23"/>
      <x:c r="U181" s="20"/>
      <x:c r="V181" s="20"/>
    </x:row>
    <x:row r="182">
      <x:c r="A182" s="20"/>
      <x:c r="B182" s="20"/>
      <x:c r="C182" s="20"/>
      <x:c r="D182" s="20"/>
      <x:c r="E182" s="23"/>
      <x:c r="F182" s="20"/>
      <x:c r="G182" s="20"/>
      <x:c r="H182" s="20"/>
      <x:c r="I182" s="20"/>
      <x:c r="J182" s="20"/>
      <x:c r="K182" s="20"/>
      <x:c r="L182" s="20"/>
      <x:c r="M182" s="20"/>
      <x:c r="N182" s="20"/>
      <x:c r="O182" s="20"/>
      <x:c r="P182" s="20"/>
      <x:c r="Q182" s="20"/>
      <x:c r="R182" s="20"/>
      <x:c r="S182" s="20"/>
      <x:c r="T182" s="23"/>
      <x:c r="U182" s="20"/>
      <x:c r="V182" s="20"/>
    </x:row>
    <x:row r="183">
      <x:c r="A183" s="20"/>
      <x:c r="B183" s="20"/>
      <x:c r="C183" s="20"/>
      <x:c r="D183" s="20"/>
      <x:c r="E183" s="23"/>
      <x:c r="F183" s="20"/>
      <x:c r="G183" s="20"/>
      <x:c r="H183" s="20"/>
      <x:c r="I183" s="20"/>
      <x:c r="J183" s="20"/>
      <x:c r="K183" s="20"/>
      <x:c r="L183" s="20"/>
      <x:c r="M183" s="20"/>
      <x:c r="N183" s="20"/>
      <x:c r="O183" s="20"/>
      <x:c r="P183" s="20"/>
      <x:c r="Q183" s="20"/>
      <x:c r="R183" s="20"/>
      <x:c r="S183" s="20"/>
      <x:c r="T183" s="23"/>
      <x:c r="U183" s="20"/>
      <x:c r="V183" s="20"/>
    </x:row>
    <x:row r="184">
      <x:c r="A184" s="20"/>
      <x:c r="B184" s="20"/>
      <x:c r="C184" s="20"/>
      <x:c r="D184" s="20"/>
      <x:c r="E184" s="23"/>
      <x:c r="F184" s="20"/>
      <x:c r="G184" s="20"/>
      <x:c r="H184" s="20"/>
      <x:c r="I184" s="20"/>
      <x:c r="J184" s="20"/>
      <x:c r="K184" s="20"/>
      <x:c r="L184" s="20"/>
      <x:c r="M184" s="20"/>
      <x:c r="N184" s="20"/>
      <x:c r="O184" s="20"/>
      <x:c r="P184" s="20"/>
      <x:c r="Q184" s="20"/>
      <x:c r="R184" s="20"/>
      <x:c r="S184" s="20"/>
      <x:c r="T184" s="23"/>
      <x:c r="U184" s="20"/>
      <x:c r="V184" s="20"/>
    </x:row>
    <x:row r="185">
      <x:c r="A185" s="20"/>
      <x:c r="B185" s="20"/>
      <x:c r="C185" s="20"/>
      <x:c r="D185" s="20"/>
      <x:c r="E185" s="23"/>
      <x:c r="F185" s="20"/>
      <x:c r="G185" s="20"/>
      <x:c r="H185" s="20"/>
      <x:c r="I185" s="20"/>
      <x:c r="J185" s="20"/>
      <x:c r="K185" s="20"/>
      <x:c r="L185" s="20"/>
      <x:c r="M185" s="20"/>
      <x:c r="N185" s="20"/>
      <x:c r="O185" s="20"/>
      <x:c r="P185" s="20"/>
      <x:c r="Q185" s="20"/>
      <x:c r="R185" s="20"/>
      <x:c r="S185" s="20"/>
      <x:c r="T185" s="23"/>
      <x:c r="U185" s="20"/>
      <x:c r="V185" s="20"/>
    </x:row>
    <x:row r="186">
      <x:c r="A186" s="20"/>
      <x:c r="B186" s="20"/>
      <x:c r="C186" s="20"/>
      <x:c r="D186" s="20"/>
      <x:c r="E186" s="23"/>
      <x:c r="F186" s="20"/>
      <x:c r="G186" s="20"/>
      <x:c r="H186" s="20"/>
      <x:c r="I186" s="20"/>
      <x:c r="J186" s="20"/>
      <x:c r="K186" s="20"/>
      <x:c r="L186" s="20"/>
      <x:c r="M186" s="20"/>
      <x:c r="N186" s="20"/>
      <x:c r="O186" s="20"/>
      <x:c r="P186" s="20"/>
      <x:c r="Q186" s="20"/>
      <x:c r="R186" s="20"/>
      <x:c r="S186" s="20"/>
      <x:c r="T186" s="23"/>
      <x:c r="U186" s="20"/>
      <x:c r="V186" s="20"/>
    </x:row>
    <x:row r="187">
      <x:c r="A187" s="20"/>
      <x:c r="B187" s="20"/>
      <x:c r="C187" s="20"/>
      <x:c r="D187" s="20"/>
      <x:c r="E187" s="23"/>
      <x:c r="F187" s="20"/>
      <x:c r="G187" s="20"/>
      <x:c r="H187" s="20"/>
      <x:c r="I187" s="20"/>
      <x:c r="J187" s="20"/>
      <x:c r="K187" s="20"/>
      <x:c r="L187" s="20"/>
      <x:c r="M187" s="20"/>
      <x:c r="N187" s="20"/>
      <x:c r="O187" s="20"/>
      <x:c r="P187" s="20"/>
      <x:c r="Q187" s="20"/>
      <x:c r="R187" s="20"/>
      <x:c r="S187" s="20"/>
      <x:c r="T187" s="23"/>
      <x:c r="U187" s="20"/>
      <x:c r="V187" s="20"/>
    </x:row>
    <x:row r="188">
      <x:c r="A188" s="20"/>
      <x:c r="B188" s="20"/>
      <x:c r="C188" s="20"/>
      <x:c r="D188" s="20"/>
      <x:c r="E188" s="23"/>
      <x:c r="F188" s="20"/>
      <x:c r="G188" s="20"/>
      <x:c r="H188" s="20"/>
      <x:c r="I188" s="20"/>
      <x:c r="J188" s="20"/>
      <x:c r="K188" s="20"/>
      <x:c r="L188" s="20"/>
      <x:c r="M188" s="20"/>
      <x:c r="N188" s="20"/>
      <x:c r="O188" s="20"/>
      <x:c r="P188" s="20"/>
      <x:c r="Q188" s="20"/>
      <x:c r="R188" s="20"/>
      <x:c r="S188" s="20"/>
      <x:c r="T188" s="23"/>
      <x:c r="U188" s="20"/>
      <x:c r="V188" s="20"/>
    </x:row>
    <x:row r="189">
      <x:c r="A189" s="20"/>
      <x:c r="B189" s="20"/>
      <x:c r="C189" s="20"/>
      <x:c r="D189" s="20"/>
      <x:c r="E189" s="23"/>
      <x:c r="F189" s="20"/>
      <x:c r="G189" s="20"/>
      <x:c r="H189" s="20"/>
      <x:c r="I189" s="20"/>
      <x:c r="J189" s="20"/>
      <x:c r="K189" s="20"/>
      <x:c r="L189" s="20"/>
      <x:c r="M189" s="20"/>
      <x:c r="N189" s="20"/>
      <x:c r="O189" s="20"/>
      <x:c r="P189" s="20"/>
      <x:c r="Q189" s="20"/>
      <x:c r="R189" s="20"/>
      <x:c r="S189" s="20"/>
      <x:c r="T189" s="23"/>
      <x:c r="U189" s="20"/>
      <x:c r="V189" s="20"/>
    </x:row>
    <x:row r="190">
      <x:c r="A190" s="20"/>
      <x:c r="B190" s="20"/>
      <x:c r="C190" s="20"/>
      <x:c r="D190" s="20"/>
      <x:c r="E190" s="23"/>
      <x:c r="F190" s="20"/>
      <x:c r="G190" s="20"/>
      <x:c r="H190" s="20"/>
      <x:c r="I190" s="20"/>
      <x:c r="J190" s="20"/>
      <x:c r="K190" s="20"/>
      <x:c r="L190" s="20"/>
      <x:c r="M190" s="20"/>
      <x:c r="N190" s="20"/>
      <x:c r="O190" s="20"/>
      <x:c r="P190" s="20"/>
      <x:c r="Q190" s="20"/>
      <x:c r="R190" s="20"/>
      <x:c r="S190" s="20"/>
      <x:c r="T190" s="23"/>
      <x:c r="U190" s="20"/>
      <x:c r="V190" s="20"/>
    </x:row>
    <x:row r="191">
      <x:c r="A191" s="20"/>
      <x:c r="B191" s="20"/>
      <x:c r="C191" s="20"/>
      <x:c r="D191" s="20"/>
      <x:c r="E191" s="23"/>
      <x:c r="F191" s="20"/>
      <x:c r="G191" s="20"/>
      <x:c r="H191" s="20"/>
      <x:c r="I191" s="20"/>
      <x:c r="J191" s="20"/>
      <x:c r="K191" s="20"/>
      <x:c r="L191" s="20"/>
      <x:c r="M191" s="20"/>
      <x:c r="N191" s="20"/>
      <x:c r="O191" s="20"/>
      <x:c r="P191" s="20"/>
      <x:c r="Q191" s="20"/>
      <x:c r="R191" s="20"/>
      <x:c r="S191" s="20"/>
      <x:c r="T191" s="23"/>
      <x:c r="U191" s="20"/>
      <x:c r="V191" s="20"/>
    </x:row>
    <x:row r="192">
      <x:c r="A192" s="20"/>
      <x:c r="B192" s="20"/>
      <x:c r="C192" s="20"/>
      <x:c r="D192" s="20"/>
      <x:c r="E192" s="23"/>
      <x:c r="F192" s="20"/>
      <x:c r="G192" s="20"/>
      <x:c r="H192" s="20"/>
      <x:c r="I192" s="20"/>
      <x:c r="J192" s="20"/>
      <x:c r="K192" s="20"/>
      <x:c r="L192" s="20"/>
      <x:c r="M192" s="20"/>
      <x:c r="N192" s="20"/>
      <x:c r="O192" s="20"/>
      <x:c r="P192" s="20"/>
      <x:c r="Q192" s="20"/>
      <x:c r="R192" s="20"/>
      <x:c r="S192" s="20"/>
      <x:c r="T192" s="23"/>
      <x:c r="U192" s="20"/>
      <x:c r="V192" s="20"/>
    </x:row>
    <x:row r="193">
      <x:c r="A193" s="20"/>
      <x:c r="B193" s="20"/>
      <x:c r="C193" s="20"/>
      <x:c r="D193" s="20"/>
      <x:c r="E193" s="23"/>
      <x:c r="F193" s="20"/>
      <x:c r="G193" s="20"/>
      <x:c r="H193" s="20"/>
      <x:c r="I193" s="20"/>
      <x:c r="J193" s="20"/>
      <x:c r="K193" s="20"/>
      <x:c r="L193" s="20"/>
      <x:c r="M193" s="20"/>
      <x:c r="N193" s="20"/>
      <x:c r="O193" s="20"/>
      <x:c r="P193" s="20"/>
      <x:c r="Q193" s="20"/>
      <x:c r="R193" s="20"/>
      <x:c r="S193" s="20"/>
      <x:c r="T193" s="23"/>
      <x:c r="U193" s="20"/>
      <x:c r="V193" s="20"/>
    </x:row>
    <x:row r="194">
      <x:c r="A194" s="20"/>
      <x:c r="B194" s="20"/>
      <x:c r="C194" s="20"/>
      <x:c r="D194" s="20"/>
      <x:c r="E194" s="23"/>
      <x:c r="F194" s="20"/>
      <x:c r="G194" s="20"/>
      <x:c r="H194" s="20"/>
      <x:c r="I194" s="20"/>
      <x:c r="J194" s="20"/>
      <x:c r="K194" s="20"/>
      <x:c r="L194" s="20"/>
      <x:c r="M194" s="20"/>
      <x:c r="N194" s="20"/>
      <x:c r="O194" s="20"/>
      <x:c r="P194" s="20"/>
      <x:c r="Q194" s="20"/>
      <x:c r="R194" s="20"/>
      <x:c r="S194" s="20"/>
      <x:c r="T194" s="23"/>
      <x:c r="U194" s="20"/>
      <x:c r="V194" s="20"/>
    </x:row>
    <x:row r="195">
      <x:c r="A195" s="20"/>
      <x:c r="B195" s="20"/>
      <x:c r="C195" s="20"/>
      <x:c r="D195" s="20"/>
      <x:c r="E195" s="23"/>
      <x:c r="F195" s="20"/>
      <x:c r="G195" s="20"/>
      <x:c r="H195" s="20"/>
      <x:c r="I195" s="20"/>
      <x:c r="J195" s="20"/>
      <x:c r="K195" s="20"/>
      <x:c r="L195" s="20"/>
      <x:c r="M195" s="20"/>
      <x:c r="N195" s="20"/>
      <x:c r="O195" s="20"/>
      <x:c r="P195" s="20"/>
      <x:c r="Q195" s="20"/>
      <x:c r="R195" s="20"/>
      <x:c r="S195" s="20"/>
      <x:c r="T195" s="23"/>
      <x:c r="U195" s="20"/>
      <x:c r="V195" s="20"/>
    </x:row>
    <x:row r="196">
      <x:c r="A196" s="20"/>
      <x:c r="B196" s="20"/>
      <x:c r="C196" s="20"/>
      <x:c r="D196" s="20"/>
      <x:c r="E196" s="23"/>
      <x:c r="F196" s="20"/>
      <x:c r="G196" s="20"/>
      <x:c r="H196" s="20"/>
      <x:c r="I196" s="20"/>
      <x:c r="J196" s="20"/>
      <x:c r="K196" s="20"/>
      <x:c r="L196" s="20"/>
      <x:c r="M196" s="20"/>
      <x:c r="N196" s="20"/>
      <x:c r="O196" s="20"/>
      <x:c r="P196" s="20"/>
      <x:c r="Q196" s="20"/>
      <x:c r="R196" s="20"/>
      <x:c r="S196" s="20"/>
      <x:c r="T196" s="23"/>
      <x:c r="U196" s="20"/>
      <x:c r="V196" s="20"/>
    </x:row>
    <x:row r="197">
      <x:c r="A197" s="20"/>
      <x:c r="B197" s="20"/>
      <x:c r="C197" s="20"/>
      <x:c r="D197" s="20"/>
      <x:c r="E197" s="23"/>
      <x:c r="F197" s="20"/>
      <x:c r="G197" s="20"/>
      <x:c r="H197" s="20"/>
      <x:c r="I197" s="20"/>
      <x:c r="J197" s="20"/>
      <x:c r="K197" s="20"/>
      <x:c r="L197" s="20"/>
      <x:c r="M197" s="20"/>
      <x:c r="N197" s="20"/>
      <x:c r="O197" s="20"/>
      <x:c r="P197" s="20"/>
      <x:c r="Q197" s="20"/>
      <x:c r="R197" s="20"/>
      <x:c r="S197" s="20"/>
      <x:c r="T197" s="23"/>
      <x:c r="U197" s="20"/>
      <x:c r="V197" s="20"/>
    </x:row>
    <x:row r="198">
      <x:c r="A198" s="20"/>
      <x:c r="B198" s="20"/>
      <x:c r="C198" s="20"/>
      <x:c r="D198" s="20"/>
      <x:c r="E198" s="23"/>
      <x:c r="F198" s="20"/>
      <x:c r="G198" s="20"/>
      <x:c r="H198" s="20"/>
      <x:c r="I198" s="20"/>
      <x:c r="J198" s="20"/>
      <x:c r="K198" s="20"/>
      <x:c r="L198" s="20"/>
      <x:c r="M198" s="20"/>
      <x:c r="N198" s="20"/>
      <x:c r="O198" s="20"/>
      <x:c r="P198" s="20"/>
      <x:c r="Q198" s="20"/>
      <x:c r="R198" s="20"/>
      <x:c r="S198" s="20"/>
      <x:c r="T198" s="23"/>
      <x:c r="U198" s="20"/>
      <x:c r="V198" s="20"/>
    </x:row>
    <x:row r="199">
      <x:c r="A199" s="20"/>
      <x:c r="B199" s="20"/>
      <x:c r="C199" s="20"/>
      <x:c r="D199" s="20"/>
      <x:c r="E199" s="23"/>
      <x:c r="F199" s="20"/>
      <x:c r="G199" s="20"/>
      <x:c r="H199" s="20"/>
      <x:c r="I199" s="20"/>
      <x:c r="J199" s="20"/>
      <x:c r="K199" s="20"/>
      <x:c r="L199" s="20"/>
      <x:c r="M199" s="20"/>
      <x:c r="N199" s="20"/>
      <x:c r="O199" s="20"/>
      <x:c r="P199" s="20"/>
      <x:c r="Q199" s="20"/>
      <x:c r="R199" s="20"/>
      <x:c r="S199" s="20"/>
      <x:c r="T199" s="23"/>
      <x:c r="U199" s="20"/>
      <x:c r="V199" s="20"/>
    </x:row>
    <x:row r="200">
      <x:c r="A200" s="20"/>
      <x:c r="B200" s="20"/>
      <x:c r="C200" s="20"/>
      <x:c r="D200" s="20"/>
      <x:c r="E200" s="23"/>
      <x:c r="F200" s="20"/>
      <x:c r="G200" s="20"/>
      <x:c r="H200" s="20"/>
      <x:c r="I200" s="20"/>
      <x:c r="J200" s="20"/>
      <x:c r="K200" s="20"/>
      <x:c r="L200" s="20"/>
      <x:c r="M200" s="20"/>
      <x:c r="N200" s="20"/>
      <x:c r="O200" s="20"/>
      <x:c r="P200" s="20"/>
      <x:c r="Q200" s="20"/>
      <x:c r="R200" s="20"/>
      <x:c r="S200" s="20"/>
      <x:c r="T200" s="23"/>
      <x:c r="U200" s="20"/>
      <x:c r="V200" s="20"/>
    </x:row>
    <x:row r="201">
      <x:c r="A201" s="20"/>
      <x:c r="B201" s="20"/>
      <x:c r="C201" s="20"/>
      <x:c r="D201" s="20"/>
      <x:c r="E201" s="23"/>
      <x:c r="F201" s="20"/>
      <x:c r="G201" s="20"/>
      <x:c r="H201" s="20"/>
      <x:c r="I201" s="20"/>
      <x:c r="J201" s="20"/>
      <x:c r="K201" s="20"/>
      <x:c r="L201" s="20"/>
      <x:c r="M201" s="20"/>
      <x:c r="N201" s="20"/>
      <x:c r="O201" s="20"/>
      <x:c r="P201" s="20"/>
      <x:c r="Q201" s="20"/>
      <x:c r="R201" s="20"/>
      <x:c r="S201" s="20"/>
      <x:c r="T201" s="23"/>
      <x:c r="U201" s="20"/>
      <x:c r="V201" s="20"/>
    </x:row>
    <x:row r="202">
      <x:c r="A202" s="20"/>
      <x:c r="B202" s="20"/>
      <x:c r="C202" s="20"/>
      <x:c r="D202" s="20"/>
      <x:c r="E202" s="23"/>
      <x:c r="F202" s="20"/>
      <x:c r="G202" s="20"/>
      <x:c r="H202" s="20"/>
      <x:c r="I202" s="20"/>
      <x:c r="J202" s="20"/>
      <x:c r="K202" s="20"/>
      <x:c r="L202" s="20"/>
      <x:c r="M202" s="20"/>
      <x:c r="N202" s="20"/>
      <x:c r="O202" s="20"/>
      <x:c r="P202" s="20"/>
      <x:c r="Q202" s="20"/>
      <x:c r="R202" s="20"/>
      <x:c r="S202" s="20"/>
      <x:c r="T202" s="23"/>
      <x:c r="U202" s="20"/>
      <x:c r="V202" s="20"/>
    </x:row>
    <x:row r="203">
      <x:c r="A203" s="20"/>
      <x:c r="B203" s="20"/>
      <x:c r="C203" s="20"/>
      <x:c r="D203" s="20"/>
      <x:c r="E203" s="23"/>
      <x:c r="F203" s="20"/>
      <x:c r="G203" s="20"/>
      <x:c r="H203" s="20"/>
      <x:c r="I203" s="20"/>
      <x:c r="J203" s="20"/>
      <x:c r="K203" s="20"/>
      <x:c r="L203" s="20"/>
      <x:c r="M203" s="20"/>
      <x:c r="N203" s="20"/>
      <x:c r="O203" s="20"/>
      <x:c r="P203" s="20"/>
      <x:c r="Q203" s="20"/>
      <x:c r="R203" s="20"/>
      <x:c r="S203" s="20"/>
      <x:c r="T203" s="23"/>
      <x:c r="U203" s="20"/>
      <x:c r="V203" s="20"/>
    </x:row>
    <x:row r="204">
      <x:c r="A204" s="21"/>
      <x:c r="B204" s="21"/>
      <x:c r="C204" s="21"/>
      <x:c r="D204" s="21"/>
      <x:c r="E204" s="24"/>
      <x:c r="F204" s="21"/>
      <x:c r="G204" s="21"/>
      <x:c r="H204" s="21"/>
      <x:c r="I204" s="21"/>
      <x:c r="J204" s="21"/>
      <x:c r="K204" s="21"/>
      <x:c r="L204" s="21"/>
      <x:c r="M204" s="21"/>
      <x:c r="N204" s="21"/>
      <x:c r="O204" s="21"/>
      <x:c r="P204" s="21"/>
      <x:c r="Q204" s="21"/>
      <x:c r="R204" s="21"/>
      <x:c r="S204" s="21"/>
      <x:c r="T204" s="24"/>
      <x:c r="U204" s="21"/>
      <x:c r="V204" s="21"/>
    </x:row>
  </x:sheetData>
  <x:mergeCells>
    <x:mergeCell ref="A1:V1"/>
    <x:mergeCell ref="A2:V2"/>
  </x:mergeCells>
  <x:conditionalFormatting sqref="A5:V204">
    <x:cfRule type="expression" dxfId="0" priority="1">
      <x:formula>OR($R5="Open",$R5="Blocked",$R5="Failed",$R5="Rejected",$R5="Not Authorised")</x:formula>
    </x:cfRule>
    <x:cfRule type="expression" dxfId="1" priority="2">
      <x:formula>OR($R5="Approved",$R5="Passed",$R5="Closed",$R5="Authorised")</x:formula>
    </x:cfRule>
    <x:cfRule type="expression" dxfId="2" priority="3">
      <x:formula>OR($R5="Pending",$R5="In Progress",$R5="Investigating",$R5="Conditional")</x:formula>
    </x:cfRule>
  </x:conditionalFormatting>
  <x:dataValidations count="12">
    <x:dataValidation type="list" sqref="D5:D204">
      <x:formula1>"Local,Development,Staging,Production"</x:formula1>
    </x:dataValidation>
    <x:dataValidation type="list" sqref="H5:H204">
      <x:formula1>"Yes,No"</x:formula1>
    </x:dataValidation>
    <x:dataValidation type="list" sqref="I5:I204">
      <x:formula1>"Pass,Fail,Not Run,Not Applicable"</x:formula1>
    </x:dataValidation>
    <x:dataValidation type="list" sqref="J5:J204">
      <x:formula1>"Pass,Fail,Not Run,Not Applicable"</x:formula1>
    </x:dataValidation>
    <x:dataValidation type="list" sqref="K5:K204">
      <x:formula1>"Pass,Fail,Not Run,Not Applicable"</x:formula1>
    </x:dataValidation>
    <x:dataValidation type="list" sqref="L5:L204">
      <x:formula1>"Pass,Fail,Not Run,Not Applicable"</x:formula1>
    </x:dataValidation>
    <x:dataValidation type="list" sqref="M5:M204">
      <x:formula1>"Pass,Fail,Not Run,Not Applicable"</x:formula1>
    </x:dataValidation>
    <x:dataValidation type="list" sqref="N5:N204">
      <x:formula1>"Pass,Fail,Not Run,Not Applicable"</x:formula1>
    </x:dataValidation>
    <x:dataValidation type="list" sqref="O5:O204">
      <x:formula1>"Pass,Fail,Not Run,Not Applicable"</x:formula1>
    </x:dataValidation>
    <x:dataValidation type="list" sqref="P5:P204">
      <x:formula1>"Pass,Fail,Not Run,Not Applicable"</x:formula1>
    </x:dataValidation>
    <x:dataValidation type="list" sqref="Q5:Q204">
      <x:formula1>"Yes,No"</x:formula1>
    </x:dataValidation>
    <x:dataValidation type="list" sqref="R5:R204">
      <x:formula1>"Not Deployed,Scheduled,Deploying,Deployed,Rolled Back,Failed"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1c1c1f1e48b4c6e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6" hidden="0" customWidth="1"/>
    <x:col min="3" max="3" width="10" hidden="0" customWidth="1"/>
    <x:col min="4" max="4" width="24" hidden="0" customWidth="1"/>
    <x:col min="5" max="5" width="14" hidden="0" customWidth="1"/>
    <x:col min="6" max="6" width="18" hidden="0" customWidth="1"/>
    <x:col min="7" max="7" width="18" hidden="0" customWidth="1"/>
    <x:col min="8" max="8" width="22" hidden="0" customWidth="1"/>
    <x:col min="9" max="9" width="14" hidden="0" customWidth="1"/>
    <x:col min="10" max="10" width="16" hidden="0" customWidth="1"/>
    <x:col min="11" max="11" width="32" hidden="0" customWidth="1"/>
    <x:col min="12" max="12" width="28" hidden="0" customWidth="1"/>
    <x:col min="13" max="13" width="14" hidden="0" customWidth="1"/>
    <x:col min="14" max="14" width="14" hidden="0" customWidth="1"/>
  </x:cols>
  <x:sheetData>
    <x:row r="1" ht="34" customHeight="1">
      <x:c r="A1" s="3" t="str">
        <x:v>GATES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</x:row>
    <x:row r="2" ht="28" customHeight="1">
      <x:c r="A2" s="7" t="str">
        <x:v>Required G0–G6 controls for each release candidate. A gate passes only after its evidence is independently verified.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</x:row>
    <x:row r="4" ht="32" customHeight="1">
      <x:c r="A4" s="12" t="str">
        <x:v>Gate Record ID*</x:v>
      </x:c>
      <x:c r="B4" s="12" t="str">
        <x:v>Candidate ID*</x:v>
      </x:c>
      <x:c r="C4" s="12" t="str">
        <x:v>Gate*</x:v>
      </x:c>
      <x:c r="D4" s="12" t="str">
        <x:v>Gate Name*</x:v>
      </x:c>
      <x:c r="E4" s="12" t="str">
        <x:v>Status*</x:v>
      </x:c>
      <x:c r="F4" s="12" t="str">
        <x:v>Owner*</x:v>
      </x:c>
      <x:c r="G4" s="12" t="str">
        <x:v>Reviewer*</x:v>
      </x:c>
      <x:c r="H4" s="12" t="str">
        <x:v>Evidence ID(s)*</x:v>
      </x:c>
      <x:c r="I4" s="12" t="str">
        <x:v>Reviewed Date</x:v>
      </x:c>
      <x:c r="J4" s="12" t="str">
        <x:v>Exception ID</x:v>
      </x:c>
      <x:c r="K4" s="12" t="str">
        <x:v>Findings / Conditions</x:v>
      </x:c>
      <x:c r="L4" s="12" t="str">
        <x:v>Next Action</x:v>
      </x:c>
      <x:c r="M4" s="12" t="str">
        <x:v>Due Date</x:v>
      </x:c>
      <x:c r="N4" s="12" t="str">
        <x:v>Last Updated*</x:v>
      </x:c>
    </x:row>
    <x:row r="5">
      <x:c r="A5" s="19"/>
      <x:c r="B5" s="19"/>
      <x:c r="C5" s="19"/>
      <x:c r="D5" s="19"/>
      <x:c r="E5" s="19"/>
      <x:c r="F5" s="19"/>
      <x:c r="G5" s="19"/>
      <x:c r="H5" s="19"/>
      <x:c r="I5" s="22"/>
      <x:c r="J5" s="19"/>
      <x:c r="K5" s="19"/>
      <x:c r="L5" s="19"/>
      <x:c r="M5" s="22"/>
      <x:c r="N5" s="22"/>
    </x:row>
    <x:row r="6">
      <x:c r="A6" s="20"/>
      <x:c r="B6" s="20"/>
      <x:c r="C6" s="20"/>
      <x:c r="D6" s="20"/>
      <x:c r="E6" s="20"/>
      <x:c r="F6" s="20"/>
      <x:c r="G6" s="20"/>
      <x:c r="H6" s="20"/>
      <x:c r="I6" s="23"/>
      <x:c r="J6" s="20"/>
      <x:c r="K6" s="20"/>
      <x:c r="L6" s="20"/>
      <x:c r="M6" s="23"/>
      <x:c r="N6" s="23"/>
    </x:row>
    <x:row r="7">
      <x:c r="A7" s="20"/>
      <x:c r="B7" s="20"/>
      <x:c r="C7" s="20"/>
      <x:c r="D7" s="20"/>
      <x:c r="E7" s="20"/>
      <x:c r="F7" s="20"/>
      <x:c r="G7" s="20"/>
      <x:c r="H7" s="20"/>
      <x:c r="I7" s="23"/>
      <x:c r="J7" s="20"/>
      <x:c r="K7" s="20"/>
      <x:c r="L7" s="20"/>
      <x:c r="M7" s="23"/>
      <x:c r="N7" s="23"/>
    </x:row>
    <x:row r="8">
      <x:c r="A8" s="20"/>
      <x:c r="B8" s="20"/>
      <x:c r="C8" s="20"/>
      <x:c r="D8" s="20"/>
      <x:c r="E8" s="20"/>
      <x:c r="F8" s="20"/>
      <x:c r="G8" s="20"/>
      <x:c r="H8" s="20"/>
      <x:c r="I8" s="23"/>
      <x:c r="J8" s="20"/>
      <x:c r="K8" s="20"/>
      <x:c r="L8" s="20"/>
      <x:c r="M8" s="23"/>
      <x:c r="N8" s="23"/>
    </x:row>
    <x:row r="9">
      <x:c r="A9" s="20"/>
      <x:c r="B9" s="20"/>
      <x:c r="C9" s="20"/>
      <x:c r="D9" s="20"/>
      <x:c r="E9" s="20"/>
      <x:c r="F9" s="20"/>
      <x:c r="G9" s="20"/>
      <x:c r="H9" s="20"/>
      <x:c r="I9" s="23"/>
      <x:c r="J9" s="20"/>
      <x:c r="K9" s="20"/>
      <x:c r="L9" s="20"/>
      <x:c r="M9" s="23"/>
      <x:c r="N9" s="23"/>
    </x:row>
    <x:row r="10">
      <x:c r="A10" s="20"/>
      <x:c r="B10" s="20"/>
      <x:c r="C10" s="20"/>
      <x:c r="D10" s="20"/>
      <x:c r="E10" s="20"/>
      <x:c r="F10" s="20"/>
      <x:c r="G10" s="20"/>
      <x:c r="H10" s="20"/>
      <x:c r="I10" s="23"/>
      <x:c r="J10" s="20"/>
      <x:c r="K10" s="20"/>
      <x:c r="L10" s="20"/>
      <x:c r="M10" s="23"/>
      <x:c r="N10" s="23"/>
    </x:row>
    <x:row r="11">
      <x:c r="A11" s="20"/>
      <x:c r="B11" s="20"/>
      <x:c r="C11" s="20"/>
      <x:c r="D11" s="20"/>
      <x:c r="E11" s="20"/>
      <x:c r="F11" s="20"/>
      <x:c r="G11" s="20"/>
      <x:c r="H11" s="20"/>
      <x:c r="I11" s="23"/>
      <x:c r="J11" s="20"/>
      <x:c r="K11" s="20"/>
      <x:c r="L11" s="20"/>
      <x:c r="M11" s="23"/>
      <x:c r="N11" s="23"/>
    </x:row>
    <x:row r="12">
      <x:c r="A12" s="20"/>
      <x:c r="B12" s="20"/>
      <x:c r="C12" s="20"/>
      <x:c r="D12" s="20"/>
      <x:c r="E12" s="20"/>
      <x:c r="F12" s="20"/>
      <x:c r="G12" s="20"/>
      <x:c r="H12" s="20"/>
      <x:c r="I12" s="23"/>
      <x:c r="J12" s="20"/>
      <x:c r="K12" s="20"/>
      <x:c r="L12" s="20"/>
      <x:c r="M12" s="23"/>
      <x:c r="N12" s="23"/>
    </x:row>
    <x:row r="13">
      <x:c r="A13" s="20"/>
      <x:c r="B13" s="20"/>
      <x:c r="C13" s="20"/>
      <x:c r="D13" s="20"/>
      <x:c r="E13" s="20"/>
      <x:c r="F13" s="20"/>
      <x:c r="G13" s="20"/>
      <x:c r="H13" s="20"/>
      <x:c r="I13" s="23"/>
      <x:c r="J13" s="20"/>
      <x:c r="K13" s="20"/>
      <x:c r="L13" s="20"/>
      <x:c r="M13" s="23"/>
      <x:c r="N13" s="23"/>
    </x:row>
    <x:row r="14">
      <x:c r="A14" s="20"/>
      <x:c r="B14" s="20"/>
      <x:c r="C14" s="20"/>
      <x:c r="D14" s="20"/>
      <x:c r="E14" s="20"/>
      <x:c r="F14" s="20"/>
      <x:c r="G14" s="20"/>
      <x:c r="H14" s="20"/>
      <x:c r="I14" s="23"/>
      <x:c r="J14" s="20"/>
      <x:c r="K14" s="20"/>
      <x:c r="L14" s="20"/>
      <x:c r="M14" s="23"/>
      <x:c r="N14" s="23"/>
    </x:row>
    <x:row r="15">
      <x:c r="A15" s="20"/>
      <x:c r="B15" s="20"/>
      <x:c r="C15" s="20"/>
      <x:c r="D15" s="20"/>
      <x:c r="E15" s="20"/>
      <x:c r="F15" s="20"/>
      <x:c r="G15" s="20"/>
      <x:c r="H15" s="20"/>
      <x:c r="I15" s="23"/>
      <x:c r="J15" s="20"/>
      <x:c r="K15" s="20"/>
      <x:c r="L15" s="20"/>
      <x:c r="M15" s="23"/>
      <x:c r="N15" s="23"/>
    </x:row>
    <x:row r="16">
      <x:c r="A16" s="20"/>
      <x:c r="B16" s="20"/>
      <x:c r="C16" s="20"/>
      <x:c r="D16" s="20"/>
      <x:c r="E16" s="20"/>
      <x:c r="F16" s="20"/>
      <x:c r="G16" s="20"/>
      <x:c r="H16" s="20"/>
      <x:c r="I16" s="23"/>
      <x:c r="J16" s="20"/>
      <x:c r="K16" s="20"/>
      <x:c r="L16" s="20"/>
      <x:c r="M16" s="23"/>
      <x:c r="N16" s="23"/>
    </x:row>
    <x:row r="17">
      <x:c r="A17" s="20"/>
      <x:c r="B17" s="20"/>
      <x:c r="C17" s="20"/>
      <x:c r="D17" s="20"/>
      <x:c r="E17" s="20"/>
      <x:c r="F17" s="20"/>
      <x:c r="G17" s="20"/>
      <x:c r="H17" s="20"/>
      <x:c r="I17" s="23"/>
      <x:c r="J17" s="20"/>
      <x:c r="K17" s="20"/>
      <x:c r="L17" s="20"/>
      <x:c r="M17" s="23"/>
      <x:c r="N17" s="23"/>
    </x:row>
    <x:row r="18">
      <x:c r="A18" s="20"/>
      <x:c r="B18" s="20"/>
      <x:c r="C18" s="20"/>
      <x:c r="D18" s="20"/>
      <x:c r="E18" s="20"/>
      <x:c r="F18" s="20"/>
      <x:c r="G18" s="20"/>
      <x:c r="H18" s="20"/>
      <x:c r="I18" s="23"/>
      <x:c r="J18" s="20"/>
      <x:c r="K18" s="20"/>
      <x:c r="L18" s="20"/>
      <x:c r="M18" s="23"/>
      <x:c r="N18" s="23"/>
    </x:row>
    <x:row r="19">
      <x:c r="A19" s="20"/>
      <x:c r="B19" s="20"/>
      <x:c r="C19" s="20"/>
      <x:c r="D19" s="20"/>
      <x:c r="E19" s="20"/>
      <x:c r="F19" s="20"/>
      <x:c r="G19" s="20"/>
      <x:c r="H19" s="20"/>
      <x:c r="I19" s="23"/>
      <x:c r="J19" s="20"/>
      <x:c r="K19" s="20"/>
      <x:c r="L19" s="20"/>
      <x:c r="M19" s="23"/>
      <x:c r="N19" s="23"/>
    </x:row>
    <x:row r="20">
      <x:c r="A20" s="20"/>
      <x:c r="B20" s="20"/>
      <x:c r="C20" s="20"/>
      <x:c r="D20" s="20"/>
      <x:c r="E20" s="20"/>
      <x:c r="F20" s="20"/>
      <x:c r="G20" s="20"/>
      <x:c r="H20" s="20"/>
      <x:c r="I20" s="23"/>
      <x:c r="J20" s="20"/>
      <x:c r="K20" s="20"/>
      <x:c r="L20" s="20"/>
      <x:c r="M20" s="23"/>
      <x:c r="N20" s="23"/>
    </x:row>
    <x:row r="21">
      <x:c r="A21" s="20"/>
      <x:c r="B21" s="20"/>
      <x:c r="C21" s="20"/>
      <x:c r="D21" s="20"/>
      <x:c r="E21" s="20"/>
      <x:c r="F21" s="20"/>
      <x:c r="G21" s="20"/>
      <x:c r="H21" s="20"/>
      <x:c r="I21" s="23"/>
      <x:c r="J21" s="20"/>
      <x:c r="K21" s="20"/>
      <x:c r="L21" s="20"/>
      <x:c r="M21" s="23"/>
      <x:c r="N21" s="23"/>
    </x:row>
    <x:row r="22">
      <x:c r="A22" s="20"/>
      <x:c r="B22" s="20"/>
      <x:c r="C22" s="20"/>
      <x:c r="D22" s="20"/>
      <x:c r="E22" s="20"/>
      <x:c r="F22" s="20"/>
      <x:c r="G22" s="20"/>
      <x:c r="H22" s="20"/>
      <x:c r="I22" s="23"/>
      <x:c r="J22" s="20"/>
      <x:c r="K22" s="20"/>
      <x:c r="L22" s="20"/>
      <x:c r="M22" s="23"/>
      <x:c r="N22" s="23"/>
    </x:row>
    <x:row r="23">
      <x:c r="A23" s="20"/>
      <x:c r="B23" s="20"/>
      <x:c r="C23" s="20"/>
      <x:c r="D23" s="20"/>
      <x:c r="E23" s="20"/>
      <x:c r="F23" s="20"/>
      <x:c r="G23" s="20"/>
      <x:c r="H23" s="20"/>
      <x:c r="I23" s="23"/>
      <x:c r="J23" s="20"/>
      <x:c r="K23" s="20"/>
      <x:c r="L23" s="20"/>
      <x:c r="M23" s="23"/>
      <x:c r="N23" s="23"/>
    </x:row>
    <x:row r="24">
      <x:c r="A24" s="20"/>
      <x:c r="B24" s="20"/>
      <x:c r="C24" s="20"/>
      <x:c r="D24" s="20"/>
      <x:c r="E24" s="20"/>
      <x:c r="F24" s="20"/>
      <x:c r="G24" s="20"/>
      <x:c r="H24" s="20"/>
      <x:c r="I24" s="23"/>
      <x:c r="J24" s="20"/>
      <x:c r="K24" s="20"/>
      <x:c r="L24" s="20"/>
      <x:c r="M24" s="23"/>
      <x:c r="N24" s="23"/>
    </x:row>
    <x:row r="25">
      <x:c r="A25" s="20"/>
      <x:c r="B25" s="20"/>
      <x:c r="C25" s="20"/>
      <x:c r="D25" s="20"/>
      <x:c r="E25" s="20"/>
      <x:c r="F25" s="20"/>
      <x:c r="G25" s="20"/>
      <x:c r="H25" s="20"/>
      <x:c r="I25" s="23"/>
      <x:c r="J25" s="20"/>
      <x:c r="K25" s="20"/>
      <x:c r="L25" s="20"/>
      <x:c r="M25" s="23"/>
      <x:c r="N25" s="23"/>
    </x:row>
    <x:row r="26">
      <x:c r="A26" s="20"/>
      <x:c r="B26" s="20"/>
      <x:c r="C26" s="20"/>
      <x:c r="D26" s="20"/>
      <x:c r="E26" s="20"/>
      <x:c r="F26" s="20"/>
      <x:c r="G26" s="20"/>
      <x:c r="H26" s="20"/>
      <x:c r="I26" s="23"/>
      <x:c r="J26" s="20"/>
      <x:c r="K26" s="20"/>
      <x:c r="L26" s="20"/>
      <x:c r="M26" s="23"/>
      <x:c r="N26" s="23"/>
    </x:row>
    <x:row r="27">
      <x:c r="A27" s="20"/>
      <x:c r="B27" s="20"/>
      <x:c r="C27" s="20"/>
      <x:c r="D27" s="20"/>
      <x:c r="E27" s="20"/>
      <x:c r="F27" s="20"/>
      <x:c r="G27" s="20"/>
      <x:c r="H27" s="20"/>
      <x:c r="I27" s="23"/>
      <x:c r="J27" s="20"/>
      <x:c r="K27" s="20"/>
      <x:c r="L27" s="20"/>
      <x:c r="M27" s="23"/>
      <x:c r="N27" s="23"/>
    </x:row>
    <x:row r="28">
      <x:c r="A28" s="20"/>
      <x:c r="B28" s="20"/>
      <x:c r="C28" s="20"/>
      <x:c r="D28" s="20"/>
      <x:c r="E28" s="20"/>
      <x:c r="F28" s="20"/>
      <x:c r="G28" s="20"/>
      <x:c r="H28" s="20"/>
      <x:c r="I28" s="23"/>
      <x:c r="J28" s="20"/>
      <x:c r="K28" s="20"/>
      <x:c r="L28" s="20"/>
      <x:c r="M28" s="23"/>
      <x:c r="N28" s="23"/>
    </x:row>
    <x:row r="29">
      <x:c r="A29" s="20"/>
      <x:c r="B29" s="20"/>
      <x:c r="C29" s="20"/>
      <x:c r="D29" s="20"/>
      <x:c r="E29" s="20"/>
      <x:c r="F29" s="20"/>
      <x:c r="G29" s="20"/>
      <x:c r="H29" s="20"/>
      <x:c r="I29" s="23"/>
      <x:c r="J29" s="20"/>
      <x:c r="K29" s="20"/>
      <x:c r="L29" s="20"/>
      <x:c r="M29" s="23"/>
      <x:c r="N29" s="23"/>
    </x:row>
    <x:row r="30">
      <x:c r="A30" s="20"/>
      <x:c r="B30" s="20"/>
      <x:c r="C30" s="20"/>
      <x:c r="D30" s="20"/>
      <x:c r="E30" s="20"/>
      <x:c r="F30" s="20"/>
      <x:c r="G30" s="20"/>
      <x:c r="H30" s="20"/>
      <x:c r="I30" s="23"/>
      <x:c r="J30" s="20"/>
      <x:c r="K30" s="20"/>
      <x:c r="L30" s="20"/>
      <x:c r="M30" s="23"/>
      <x:c r="N30" s="23"/>
    </x:row>
    <x:row r="31">
      <x:c r="A31" s="20"/>
      <x:c r="B31" s="20"/>
      <x:c r="C31" s="20"/>
      <x:c r="D31" s="20"/>
      <x:c r="E31" s="20"/>
      <x:c r="F31" s="20"/>
      <x:c r="G31" s="20"/>
      <x:c r="H31" s="20"/>
      <x:c r="I31" s="23"/>
      <x:c r="J31" s="20"/>
      <x:c r="K31" s="20"/>
      <x:c r="L31" s="20"/>
      <x:c r="M31" s="23"/>
      <x:c r="N31" s="23"/>
    </x:row>
    <x:row r="32">
      <x:c r="A32" s="20"/>
      <x:c r="B32" s="20"/>
      <x:c r="C32" s="20"/>
      <x:c r="D32" s="20"/>
      <x:c r="E32" s="20"/>
      <x:c r="F32" s="20"/>
      <x:c r="G32" s="20"/>
      <x:c r="H32" s="20"/>
      <x:c r="I32" s="23"/>
      <x:c r="J32" s="20"/>
      <x:c r="K32" s="20"/>
      <x:c r="L32" s="20"/>
      <x:c r="M32" s="23"/>
      <x:c r="N32" s="23"/>
    </x:row>
    <x:row r="33">
      <x:c r="A33" s="20"/>
      <x:c r="B33" s="20"/>
      <x:c r="C33" s="20"/>
      <x:c r="D33" s="20"/>
      <x:c r="E33" s="20"/>
      <x:c r="F33" s="20"/>
      <x:c r="G33" s="20"/>
      <x:c r="H33" s="20"/>
      <x:c r="I33" s="23"/>
      <x:c r="J33" s="20"/>
      <x:c r="K33" s="20"/>
      <x:c r="L33" s="20"/>
      <x:c r="M33" s="23"/>
      <x:c r="N33" s="23"/>
    </x:row>
    <x:row r="34">
      <x:c r="A34" s="20"/>
      <x:c r="B34" s="20"/>
      <x:c r="C34" s="20"/>
      <x:c r="D34" s="20"/>
      <x:c r="E34" s="20"/>
      <x:c r="F34" s="20"/>
      <x:c r="G34" s="20"/>
      <x:c r="H34" s="20"/>
      <x:c r="I34" s="23"/>
      <x:c r="J34" s="20"/>
      <x:c r="K34" s="20"/>
      <x:c r="L34" s="20"/>
      <x:c r="M34" s="23"/>
      <x:c r="N34" s="23"/>
    </x:row>
    <x:row r="35">
      <x:c r="A35" s="20"/>
      <x:c r="B35" s="20"/>
      <x:c r="C35" s="20"/>
      <x:c r="D35" s="20"/>
      <x:c r="E35" s="20"/>
      <x:c r="F35" s="20"/>
      <x:c r="G35" s="20"/>
      <x:c r="H35" s="20"/>
      <x:c r="I35" s="23"/>
      <x:c r="J35" s="20"/>
      <x:c r="K35" s="20"/>
      <x:c r="L35" s="20"/>
      <x:c r="M35" s="23"/>
      <x:c r="N35" s="23"/>
    </x:row>
    <x:row r="36">
      <x:c r="A36" s="20"/>
      <x:c r="B36" s="20"/>
      <x:c r="C36" s="20"/>
      <x:c r="D36" s="20"/>
      <x:c r="E36" s="20"/>
      <x:c r="F36" s="20"/>
      <x:c r="G36" s="20"/>
      <x:c r="H36" s="20"/>
      <x:c r="I36" s="23"/>
      <x:c r="J36" s="20"/>
      <x:c r="K36" s="20"/>
      <x:c r="L36" s="20"/>
      <x:c r="M36" s="23"/>
      <x:c r="N36" s="23"/>
    </x:row>
    <x:row r="37">
      <x:c r="A37" s="20"/>
      <x:c r="B37" s="20"/>
      <x:c r="C37" s="20"/>
      <x:c r="D37" s="20"/>
      <x:c r="E37" s="20"/>
      <x:c r="F37" s="20"/>
      <x:c r="G37" s="20"/>
      <x:c r="H37" s="20"/>
      <x:c r="I37" s="23"/>
      <x:c r="J37" s="20"/>
      <x:c r="K37" s="20"/>
      <x:c r="L37" s="20"/>
      <x:c r="M37" s="23"/>
      <x:c r="N37" s="23"/>
    </x:row>
    <x:row r="38">
      <x:c r="A38" s="20"/>
      <x:c r="B38" s="20"/>
      <x:c r="C38" s="20"/>
      <x:c r="D38" s="20"/>
      <x:c r="E38" s="20"/>
      <x:c r="F38" s="20"/>
      <x:c r="G38" s="20"/>
      <x:c r="H38" s="20"/>
      <x:c r="I38" s="23"/>
      <x:c r="J38" s="20"/>
      <x:c r="K38" s="20"/>
      <x:c r="L38" s="20"/>
      <x:c r="M38" s="23"/>
      <x:c r="N38" s="23"/>
    </x:row>
    <x:row r="39">
      <x:c r="A39" s="20"/>
      <x:c r="B39" s="20"/>
      <x:c r="C39" s="20"/>
      <x:c r="D39" s="20"/>
      <x:c r="E39" s="20"/>
      <x:c r="F39" s="20"/>
      <x:c r="G39" s="20"/>
      <x:c r="H39" s="20"/>
      <x:c r="I39" s="23"/>
      <x:c r="J39" s="20"/>
      <x:c r="K39" s="20"/>
      <x:c r="L39" s="20"/>
      <x:c r="M39" s="23"/>
      <x:c r="N39" s="23"/>
    </x:row>
    <x:row r="40">
      <x:c r="A40" s="20"/>
      <x:c r="B40" s="20"/>
      <x:c r="C40" s="20"/>
      <x:c r="D40" s="20"/>
      <x:c r="E40" s="20"/>
      <x:c r="F40" s="20"/>
      <x:c r="G40" s="20"/>
      <x:c r="H40" s="20"/>
      <x:c r="I40" s="23"/>
      <x:c r="J40" s="20"/>
      <x:c r="K40" s="20"/>
      <x:c r="L40" s="20"/>
      <x:c r="M40" s="23"/>
      <x:c r="N40" s="23"/>
    </x:row>
    <x:row r="41">
      <x:c r="A41" s="20"/>
      <x:c r="B41" s="20"/>
      <x:c r="C41" s="20"/>
      <x:c r="D41" s="20"/>
      <x:c r="E41" s="20"/>
      <x:c r="F41" s="20"/>
      <x:c r="G41" s="20"/>
      <x:c r="H41" s="20"/>
      <x:c r="I41" s="23"/>
      <x:c r="J41" s="20"/>
      <x:c r="K41" s="20"/>
      <x:c r="L41" s="20"/>
      <x:c r="M41" s="23"/>
      <x:c r="N41" s="23"/>
    </x:row>
    <x:row r="42">
      <x:c r="A42" s="20"/>
      <x:c r="B42" s="20"/>
      <x:c r="C42" s="20"/>
      <x:c r="D42" s="20"/>
      <x:c r="E42" s="20"/>
      <x:c r="F42" s="20"/>
      <x:c r="G42" s="20"/>
      <x:c r="H42" s="20"/>
      <x:c r="I42" s="23"/>
      <x:c r="J42" s="20"/>
      <x:c r="K42" s="20"/>
      <x:c r="L42" s="20"/>
      <x:c r="M42" s="23"/>
      <x:c r="N42" s="23"/>
    </x:row>
    <x:row r="43">
      <x:c r="A43" s="20"/>
      <x:c r="B43" s="20"/>
      <x:c r="C43" s="20"/>
      <x:c r="D43" s="20"/>
      <x:c r="E43" s="20"/>
      <x:c r="F43" s="20"/>
      <x:c r="G43" s="20"/>
      <x:c r="H43" s="20"/>
      <x:c r="I43" s="23"/>
      <x:c r="J43" s="20"/>
      <x:c r="K43" s="20"/>
      <x:c r="L43" s="20"/>
      <x:c r="M43" s="23"/>
      <x:c r="N43" s="23"/>
    </x:row>
    <x:row r="44">
      <x:c r="A44" s="20"/>
      <x:c r="B44" s="20"/>
      <x:c r="C44" s="20"/>
      <x:c r="D44" s="20"/>
      <x:c r="E44" s="20"/>
      <x:c r="F44" s="20"/>
      <x:c r="G44" s="20"/>
      <x:c r="H44" s="20"/>
      <x:c r="I44" s="23"/>
      <x:c r="J44" s="20"/>
      <x:c r="K44" s="20"/>
      <x:c r="L44" s="20"/>
      <x:c r="M44" s="23"/>
      <x:c r="N44" s="23"/>
    </x:row>
    <x:row r="45">
      <x:c r="A45" s="20"/>
      <x:c r="B45" s="20"/>
      <x:c r="C45" s="20"/>
      <x:c r="D45" s="20"/>
      <x:c r="E45" s="20"/>
      <x:c r="F45" s="20"/>
      <x:c r="G45" s="20"/>
      <x:c r="H45" s="20"/>
      <x:c r="I45" s="23"/>
      <x:c r="J45" s="20"/>
      <x:c r="K45" s="20"/>
      <x:c r="L45" s="20"/>
      <x:c r="M45" s="23"/>
      <x:c r="N45" s="23"/>
    </x:row>
    <x:row r="46">
      <x:c r="A46" s="20"/>
      <x:c r="B46" s="20"/>
      <x:c r="C46" s="20"/>
      <x:c r="D46" s="20"/>
      <x:c r="E46" s="20"/>
      <x:c r="F46" s="20"/>
      <x:c r="G46" s="20"/>
      <x:c r="H46" s="20"/>
      <x:c r="I46" s="23"/>
      <x:c r="J46" s="20"/>
      <x:c r="K46" s="20"/>
      <x:c r="L46" s="20"/>
      <x:c r="M46" s="23"/>
      <x:c r="N46" s="23"/>
    </x:row>
    <x:row r="47">
      <x:c r="A47" s="20"/>
      <x:c r="B47" s="20"/>
      <x:c r="C47" s="20"/>
      <x:c r="D47" s="20"/>
      <x:c r="E47" s="20"/>
      <x:c r="F47" s="20"/>
      <x:c r="G47" s="20"/>
      <x:c r="H47" s="20"/>
      <x:c r="I47" s="23"/>
      <x:c r="J47" s="20"/>
      <x:c r="K47" s="20"/>
      <x:c r="L47" s="20"/>
      <x:c r="M47" s="23"/>
      <x:c r="N47" s="23"/>
    </x:row>
    <x:row r="48">
      <x:c r="A48" s="20"/>
      <x:c r="B48" s="20"/>
      <x:c r="C48" s="20"/>
      <x:c r="D48" s="20"/>
      <x:c r="E48" s="20"/>
      <x:c r="F48" s="20"/>
      <x:c r="G48" s="20"/>
      <x:c r="H48" s="20"/>
      <x:c r="I48" s="23"/>
      <x:c r="J48" s="20"/>
      <x:c r="K48" s="20"/>
      <x:c r="L48" s="20"/>
      <x:c r="M48" s="23"/>
      <x:c r="N48" s="23"/>
    </x:row>
    <x:row r="49">
      <x:c r="A49" s="20"/>
      <x:c r="B49" s="20"/>
      <x:c r="C49" s="20"/>
      <x:c r="D49" s="20"/>
      <x:c r="E49" s="20"/>
      <x:c r="F49" s="20"/>
      <x:c r="G49" s="20"/>
      <x:c r="H49" s="20"/>
      <x:c r="I49" s="23"/>
      <x:c r="J49" s="20"/>
      <x:c r="K49" s="20"/>
      <x:c r="L49" s="20"/>
      <x:c r="M49" s="23"/>
      <x:c r="N49" s="23"/>
    </x:row>
    <x:row r="50">
      <x:c r="A50" s="20"/>
      <x:c r="B50" s="20"/>
      <x:c r="C50" s="20"/>
      <x:c r="D50" s="20"/>
      <x:c r="E50" s="20"/>
      <x:c r="F50" s="20"/>
      <x:c r="G50" s="20"/>
      <x:c r="H50" s="20"/>
      <x:c r="I50" s="23"/>
      <x:c r="J50" s="20"/>
      <x:c r="K50" s="20"/>
      <x:c r="L50" s="20"/>
      <x:c r="M50" s="23"/>
      <x:c r="N50" s="23"/>
    </x:row>
    <x:row r="51">
      <x:c r="A51" s="20"/>
      <x:c r="B51" s="20"/>
      <x:c r="C51" s="20"/>
      <x:c r="D51" s="20"/>
      <x:c r="E51" s="20"/>
      <x:c r="F51" s="20"/>
      <x:c r="G51" s="20"/>
      <x:c r="H51" s="20"/>
      <x:c r="I51" s="23"/>
      <x:c r="J51" s="20"/>
      <x:c r="K51" s="20"/>
      <x:c r="L51" s="20"/>
      <x:c r="M51" s="23"/>
      <x:c r="N51" s="23"/>
    </x:row>
    <x:row r="52">
      <x:c r="A52" s="20"/>
      <x:c r="B52" s="20"/>
      <x:c r="C52" s="20"/>
      <x:c r="D52" s="20"/>
      <x:c r="E52" s="20"/>
      <x:c r="F52" s="20"/>
      <x:c r="G52" s="20"/>
      <x:c r="H52" s="20"/>
      <x:c r="I52" s="23"/>
      <x:c r="J52" s="20"/>
      <x:c r="K52" s="20"/>
      <x:c r="L52" s="20"/>
      <x:c r="M52" s="23"/>
      <x:c r="N52" s="23"/>
    </x:row>
    <x:row r="53">
      <x:c r="A53" s="20"/>
      <x:c r="B53" s="20"/>
      <x:c r="C53" s="20"/>
      <x:c r="D53" s="20"/>
      <x:c r="E53" s="20"/>
      <x:c r="F53" s="20"/>
      <x:c r="G53" s="20"/>
      <x:c r="H53" s="20"/>
      <x:c r="I53" s="23"/>
      <x:c r="J53" s="20"/>
      <x:c r="K53" s="20"/>
      <x:c r="L53" s="20"/>
      <x:c r="M53" s="23"/>
      <x:c r="N53" s="23"/>
    </x:row>
    <x:row r="54">
      <x:c r="A54" s="20"/>
      <x:c r="B54" s="20"/>
      <x:c r="C54" s="20"/>
      <x:c r="D54" s="20"/>
      <x:c r="E54" s="20"/>
      <x:c r="F54" s="20"/>
      <x:c r="G54" s="20"/>
      <x:c r="H54" s="20"/>
      <x:c r="I54" s="23"/>
      <x:c r="J54" s="20"/>
      <x:c r="K54" s="20"/>
      <x:c r="L54" s="20"/>
      <x:c r="M54" s="23"/>
      <x:c r="N54" s="23"/>
    </x:row>
    <x:row r="55">
      <x:c r="A55" s="20"/>
      <x:c r="B55" s="20"/>
      <x:c r="C55" s="20"/>
      <x:c r="D55" s="20"/>
      <x:c r="E55" s="20"/>
      <x:c r="F55" s="20"/>
      <x:c r="G55" s="20"/>
      <x:c r="H55" s="20"/>
      <x:c r="I55" s="23"/>
      <x:c r="J55" s="20"/>
      <x:c r="K55" s="20"/>
      <x:c r="L55" s="20"/>
      <x:c r="M55" s="23"/>
      <x:c r="N55" s="23"/>
    </x:row>
    <x:row r="56">
      <x:c r="A56" s="20"/>
      <x:c r="B56" s="20"/>
      <x:c r="C56" s="20"/>
      <x:c r="D56" s="20"/>
      <x:c r="E56" s="20"/>
      <x:c r="F56" s="20"/>
      <x:c r="G56" s="20"/>
      <x:c r="H56" s="20"/>
      <x:c r="I56" s="23"/>
      <x:c r="J56" s="20"/>
      <x:c r="K56" s="20"/>
      <x:c r="L56" s="20"/>
      <x:c r="M56" s="23"/>
      <x:c r="N56" s="23"/>
    </x:row>
    <x:row r="57">
      <x:c r="A57" s="20"/>
      <x:c r="B57" s="20"/>
      <x:c r="C57" s="20"/>
      <x:c r="D57" s="20"/>
      <x:c r="E57" s="20"/>
      <x:c r="F57" s="20"/>
      <x:c r="G57" s="20"/>
      <x:c r="H57" s="20"/>
      <x:c r="I57" s="23"/>
      <x:c r="J57" s="20"/>
      <x:c r="K57" s="20"/>
      <x:c r="L57" s="20"/>
      <x:c r="M57" s="23"/>
      <x:c r="N57" s="23"/>
    </x:row>
    <x:row r="58">
      <x:c r="A58" s="20"/>
      <x:c r="B58" s="20"/>
      <x:c r="C58" s="20"/>
      <x:c r="D58" s="20"/>
      <x:c r="E58" s="20"/>
      <x:c r="F58" s="20"/>
      <x:c r="G58" s="20"/>
      <x:c r="H58" s="20"/>
      <x:c r="I58" s="23"/>
      <x:c r="J58" s="20"/>
      <x:c r="K58" s="20"/>
      <x:c r="L58" s="20"/>
      <x:c r="M58" s="23"/>
      <x:c r="N58" s="23"/>
    </x:row>
    <x:row r="59">
      <x:c r="A59" s="20"/>
      <x:c r="B59" s="20"/>
      <x:c r="C59" s="20"/>
      <x:c r="D59" s="20"/>
      <x:c r="E59" s="20"/>
      <x:c r="F59" s="20"/>
      <x:c r="G59" s="20"/>
      <x:c r="H59" s="20"/>
      <x:c r="I59" s="23"/>
      <x:c r="J59" s="20"/>
      <x:c r="K59" s="20"/>
      <x:c r="L59" s="20"/>
      <x:c r="M59" s="23"/>
      <x:c r="N59" s="23"/>
    </x:row>
    <x:row r="60">
      <x:c r="A60" s="20"/>
      <x:c r="B60" s="20"/>
      <x:c r="C60" s="20"/>
      <x:c r="D60" s="20"/>
      <x:c r="E60" s="20"/>
      <x:c r="F60" s="20"/>
      <x:c r="G60" s="20"/>
      <x:c r="H60" s="20"/>
      <x:c r="I60" s="23"/>
      <x:c r="J60" s="20"/>
      <x:c r="K60" s="20"/>
      <x:c r="L60" s="20"/>
      <x:c r="M60" s="23"/>
      <x:c r="N60" s="23"/>
    </x:row>
    <x:row r="61">
      <x:c r="A61" s="20"/>
      <x:c r="B61" s="20"/>
      <x:c r="C61" s="20"/>
      <x:c r="D61" s="20"/>
      <x:c r="E61" s="20"/>
      <x:c r="F61" s="20"/>
      <x:c r="G61" s="20"/>
      <x:c r="H61" s="20"/>
      <x:c r="I61" s="23"/>
      <x:c r="J61" s="20"/>
      <x:c r="K61" s="20"/>
      <x:c r="L61" s="20"/>
      <x:c r="M61" s="23"/>
      <x:c r="N61" s="23"/>
    </x:row>
    <x:row r="62">
      <x:c r="A62" s="20"/>
      <x:c r="B62" s="20"/>
      <x:c r="C62" s="20"/>
      <x:c r="D62" s="20"/>
      <x:c r="E62" s="20"/>
      <x:c r="F62" s="20"/>
      <x:c r="G62" s="20"/>
      <x:c r="H62" s="20"/>
      <x:c r="I62" s="23"/>
      <x:c r="J62" s="20"/>
      <x:c r="K62" s="20"/>
      <x:c r="L62" s="20"/>
      <x:c r="M62" s="23"/>
      <x:c r="N62" s="23"/>
    </x:row>
    <x:row r="63">
      <x:c r="A63" s="20"/>
      <x:c r="B63" s="20"/>
      <x:c r="C63" s="20"/>
      <x:c r="D63" s="20"/>
      <x:c r="E63" s="20"/>
      <x:c r="F63" s="20"/>
      <x:c r="G63" s="20"/>
      <x:c r="H63" s="20"/>
      <x:c r="I63" s="23"/>
      <x:c r="J63" s="20"/>
      <x:c r="K63" s="20"/>
      <x:c r="L63" s="20"/>
      <x:c r="M63" s="23"/>
      <x:c r="N63" s="23"/>
    </x:row>
    <x:row r="64">
      <x:c r="A64" s="20"/>
      <x:c r="B64" s="20"/>
      <x:c r="C64" s="20"/>
      <x:c r="D64" s="20"/>
      <x:c r="E64" s="20"/>
      <x:c r="F64" s="20"/>
      <x:c r="G64" s="20"/>
      <x:c r="H64" s="20"/>
      <x:c r="I64" s="23"/>
      <x:c r="J64" s="20"/>
      <x:c r="K64" s="20"/>
      <x:c r="L64" s="20"/>
      <x:c r="M64" s="23"/>
      <x:c r="N64" s="23"/>
    </x:row>
    <x:row r="65">
      <x:c r="A65" s="20"/>
      <x:c r="B65" s="20"/>
      <x:c r="C65" s="20"/>
      <x:c r="D65" s="20"/>
      <x:c r="E65" s="20"/>
      <x:c r="F65" s="20"/>
      <x:c r="G65" s="20"/>
      <x:c r="H65" s="20"/>
      <x:c r="I65" s="23"/>
      <x:c r="J65" s="20"/>
      <x:c r="K65" s="20"/>
      <x:c r="L65" s="20"/>
      <x:c r="M65" s="23"/>
      <x:c r="N65" s="23"/>
    </x:row>
    <x:row r="66">
      <x:c r="A66" s="20"/>
      <x:c r="B66" s="20"/>
      <x:c r="C66" s="20"/>
      <x:c r="D66" s="20"/>
      <x:c r="E66" s="20"/>
      <x:c r="F66" s="20"/>
      <x:c r="G66" s="20"/>
      <x:c r="H66" s="20"/>
      <x:c r="I66" s="23"/>
      <x:c r="J66" s="20"/>
      <x:c r="K66" s="20"/>
      <x:c r="L66" s="20"/>
      <x:c r="M66" s="23"/>
      <x:c r="N66" s="23"/>
    </x:row>
    <x:row r="67">
      <x:c r="A67" s="20"/>
      <x:c r="B67" s="20"/>
      <x:c r="C67" s="20"/>
      <x:c r="D67" s="20"/>
      <x:c r="E67" s="20"/>
      <x:c r="F67" s="20"/>
      <x:c r="G67" s="20"/>
      <x:c r="H67" s="20"/>
      <x:c r="I67" s="23"/>
      <x:c r="J67" s="20"/>
      <x:c r="K67" s="20"/>
      <x:c r="L67" s="20"/>
      <x:c r="M67" s="23"/>
      <x:c r="N67" s="23"/>
    </x:row>
    <x:row r="68">
      <x:c r="A68" s="20"/>
      <x:c r="B68" s="20"/>
      <x:c r="C68" s="20"/>
      <x:c r="D68" s="20"/>
      <x:c r="E68" s="20"/>
      <x:c r="F68" s="20"/>
      <x:c r="G68" s="20"/>
      <x:c r="H68" s="20"/>
      <x:c r="I68" s="23"/>
      <x:c r="J68" s="20"/>
      <x:c r="K68" s="20"/>
      <x:c r="L68" s="20"/>
      <x:c r="M68" s="23"/>
      <x:c r="N68" s="23"/>
    </x:row>
    <x:row r="69">
      <x:c r="A69" s="20"/>
      <x:c r="B69" s="20"/>
      <x:c r="C69" s="20"/>
      <x:c r="D69" s="20"/>
      <x:c r="E69" s="20"/>
      <x:c r="F69" s="20"/>
      <x:c r="G69" s="20"/>
      <x:c r="H69" s="20"/>
      <x:c r="I69" s="23"/>
      <x:c r="J69" s="20"/>
      <x:c r="K69" s="20"/>
      <x:c r="L69" s="20"/>
      <x:c r="M69" s="23"/>
      <x:c r="N69" s="23"/>
    </x:row>
    <x:row r="70">
      <x:c r="A70" s="20"/>
      <x:c r="B70" s="20"/>
      <x:c r="C70" s="20"/>
      <x:c r="D70" s="20"/>
      <x:c r="E70" s="20"/>
      <x:c r="F70" s="20"/>
      <x:c r="G70" s="20"/>
      <x:c r="H70" s="20"/>
      <x:c r="I70" s="23"/>
      <x:c r="J70" s="20"/>
      <x:c r="K70" s="20"/>
      <x:c r="L70" s="20"/>
      <x:c r="M70" s="23"/>
      <x:c r="N70" s="23"/>
    </x:row>
    <x:row r="71">
      <x:c r="A71" s="20"/>
      <x:c r="B71" s="20"/>
      <x:c r="C71" s="20"/>
      <x:c r="D71" s="20"/>
      <x:c r="E71" s="20"/>
      <x:c r="F71" s="20"/>
      <x:c r="G71" s="20"/>
      <x:c r="H71" s="20"/>
      <x:c r="I71" s="23"/>
      <x:c r="J71" s="20"/>
      <x:c r="K71" s="20"/>
      <x:c r="L71" s="20"/>
      <x:c r="M71" s="23"/>
      <x:c r="N71" s="23"/>
    </x:row>
    <x:row r="72">
      <x:c r="A72" s="20"/>
      <x:c r="B72" s="20"/>
      <x:c r="C72" s="20"/>
      <x:c r="D72" s="20"/>
      <x:c r="E72" s="20"/>
      <x:c r="F72" s="20"/>
      <x:c r="G72" s="20"/>
      <x:c r="H72" s="20"/>
      <x:c r="I72" s="23"/>
      <x:c r="J72" s="20"/>
      <x:c r="K72" s="20"/>
      <x:c r="L72" s="20"/>
      <x:c r="M72" s="23"/>
      <x:c r="N72" s="23"/>
    </x:row>
    <x:row r="73">
      <x:c r="A73" s="20"/>
      <x:c r="B73" s="20"/>
      <x:c r="C73" s="20"/>
      <x:c r="D73" s="20"/>
      <x:c r="E73" s="20"/>
      <x:c r="F73" s="20"/>
      <x:c r="G73" s="20"/>
      <x:c r="H73" s="20"/>
      <x:c r="I73" s="23"/>
      <x:c r="J73" s="20"/>
      <x:c r="K73" s="20"/>
      <x:c r="L73" s="20"/>
      <x:c r="M73" s="23"/>
      <x:c r="N73" s="23"/>
    </x:row>
    <x:row r="74">
      <x:c r="A74" s="20"/>
      <x:c r="B74" s="20"/>
      <x:c r="C74" s="20"/>
      <x:c r="D74" s="20"/>
      <x:c r="E74" s="20"/>
      <x:c r="F74" s="20"/>
      <x:c r="G74" s="20"/>
      <x:c r="H74" s="20"/>
      <x:c r="I74" s="23"/>
      <x:c r="J74" s="20"/>
      <x:c r="K74" s="20"/>
      <x:c r="L74" s="20"/>
      <x:c r="M74" s="23"/>
      <x:c r="N74" s="23"/>
    </x:row>
    <x:row r="75">
      <x:c r="A75" s="20"/>
      <x:c r="B75" s="20"/>
      <x:c r="C75" s="20"/>
      <x:c r="D75" s="20"/>
      <x:c r="E75" s="20"/>
      <x:c r="F75" s="20"/>
      <x:c r="G75" s="20"/>
      <x:c r="H75" s="20"/>
      <x:c r="I75" s="23"/>
      <x:c r="J75" s="20"/>
      <x:c r="K75" s="20"/>
      <x:c r="L75" s="20"/>
      <x:c r="M75" s="23"/>
      <x:c r="N75" s="23"/>
    </x:row>
    <x:row r="76">
      <x:c r="A76" s="20"/>
      <x:c r="B76" s="20"/>
      <x:c r="C76" s="20"/>
      <x:c r="D76" s="20"/>
      <x:c r="E76" s="20"/>
      <x:c r="F76" s="20"/>
      <x:c r="G76" s="20"/>
      <x:c r="H76" s="20"/>
      <x:c r="I76" s="23"/>
      <x:c r="J76" s="20"/>
      <x:c r="K76" s="20"/>
      <x:c r="L76" s="20"/>
      <x:c r="M76" s="23"/>
      <x:c r="N76" s="23"/>
    </x:row>
    <x:row r="77">
      <x:c r="A77" s="20"/>
      <x:c r="B77" s="20"/>
      <x:c r="C77" s="20"/>
      <x:c r="D77" s="20"/>
      <x:c r="E77" s="20"/>
      <x:c r="F77" s="20"/>
      <x:c r="G77" s="20"/>
      <x:c r="H77" s="20"/>
      <x:c r="I77" s="23"/>
      <x:c r="J77" s="20"/>
      <x:c r="K77" s="20"/>
      <x:c r="L77" s="20"/>
      <x:c r="M77" s="23"/>
      <x:c r="N77" s="23"/>
    </x:row>
    <x:row r="78">
      <x:c r="A78" s="20"/>
      <x:c r="B78" s="20"/>
      <x:c r="C78" s="20"/>
      <x:c r="D78" s="20"/>
      <x:c r="E78" s="20"/>
      <x:c r="F78" s="20"/>
      <x:c r="G78" s="20"/>
      <x:c r="H78" s="20"/>
      <x:c r="I78" s="23"/>
      <x:c r="J78" s="20"/>
      <x:c r="K78" s="20"/>
      <x:c r="L78" s="20"/>
      <x:c r="M78" s="23"/>
      <x:c r="N78" s="23"/>
    </x:row>
    <x:row r="79">
      <x:c r="A79" s="20"/>
      <x:c r="B79" s="20"/>
      <x:c r="C79" s="20"/>
      <x:c r="D79" s="20"/>
      <x:c r="E79" s="20"/>
      <x:c r="F79" s="20"/>
      <x:c r="G79" s="20"/>
      <x:c r="H79" s="20"/>
      <x:c r="I79" s="23"/>
      <x:c r="J79" s="20"/>
      <x:c r="K79" s="20"/>
      <x:c r="L79" s="20"/>
      <x:c r="M79" s="23"/>
      <x:c r="N79" s="23"/>
    </x:row>
    <x:row r="80">
      <x:c r="A80" s="20"/>
      <x:c r="B80" s="20"/>
      <x:c r="C80" s="20"/>
      <x:c r="D80" s="20"/>
      <x:c r="E80" s="20"/>
      <x:c r="F80" s="20"/>
      <x:c r="G80" s="20"/>
      <x:c r="H80" s="20"/>
      <x:c r="I80" s="23"/>
      <x:c r="J80" s="20"/>
      <x:c r="K80" s="20"/>
      <x:c r="L80" s="20"/>
      <x:c r="M80" s="23"/>
      <x:c r="N80" s="23"/>
    </x:row>
    <x:row r="81">
      <x:c r="A81" s="20"/>
      <x:c r="B81" s="20"/>
      <x:c r="C81" s="20"/>
      <x:c r="D81" s="20"/>
      <x:c r="E81" s="20"/>
      <x:c r="F81" s="20"/>
      <x:c r="G81" s="20"/>
      <x:c r="H81" s="20"/>
      <x:c r="I81" s="23"/>
      <x:c r="J81" s="20"/>
      <x:c r="K81" s="20"/>
      <x:c r="L81" s="20"/>
      <x:c r="M81" s="23"/>
      <x:c r="N81" s="23"/>
    </x:row>
    <x:row r="82">
      <x:c r="A82" s="20"/>
      <x:c r="B82" s="20"/>
      <x:c r="C82" s="20"/>
      <x:c r="D82" s="20"/>
      <x:c r="E82" s="20"/>
      <x:c r="F82" s="20"/>
      <x:c r="G82" s="20"/>
      <x:c r="H82" s="20"/>
      <x:c r="I82" s="23"/>
      <x:c r="J82" s="20"/>
      <x:c r="K82" s="20"/>
      <x:c r="L82" s="20"/>
      <x:c r="M82" s="23"/>
      <x:c r="N82" s="23"/>
    </x:row>
    <x:row r="83">
      <x:c r="A83" s="20"/>
      <x:c r="B83" s="20"/>
      <x:c r="C83" s="20"/>
      <x:c r="D83" s="20"/>
      <x:c r="E83" s="20"/>
      <x:c r="F83" s="20"/>
      <x:c r="G83" s="20"/>
      <x:c r="H83" s="20"/>
      <x:c r="I83" s="23"/>
      <x:c r="J83" s="20"/>
      <x:c r="K83" s="20"/>
      <x:c r="L83" s="20"/>
      <x:c r="M83" s="23"/>
      <x:c r="N83" s="23"/>
    </x:row>
    <x:row r="84">
      <x:c r="A84" s="20"/>
      <x:c r="B84" s="20"/>
      <x:c r="C84" s="20"/>
      <x:c r="D84" s="20"/>
      <x:c r="E84" s="20"/>
      <x:c r="F84" s="20"/>
      <x:c r="G84" s="20"/>
      <x:c r="H84" s="20"/>
      <x:c r="I84" s="23"/>
      <x:c r="J84" s="20"/>
      <x:c r="K84" s="20"/>
      <x:c r="L84" s="20"/>
      <x:c r="M84" s="23"/>
      <x:c r="N84" s="23"/>
    </x:row>
    <x:row r="85">
      <x:c r="A85" s="20"/>
      <x:c r="B85" s="20"/>
      <x:c r="C85" s="20"/>
      <x:c r="D85" s="20"/>
      <x:c r="E85" s="20"/>
      <x:c r="F85" s="20"/>
      <x:c r="G85" s="20"/>
      <x:c r="H85" s="20"/>
      <x:c r="I85" s="23"/>
      <x:c r="J85" s="20"/>
      <x:c r="K85" s="20"/>
      <x:c r="L85" s="20"/>
      <x:c r="M85" s="23"/>
      <x:c r="N85" s="23"/>
    </x:row>
    <x:row r="86">
      <x:c r="A86" s="20"/>
      <x:c r="B86" s="20"/>
      <x:c r="C86" s="20"/>
      <x:c r="D86" s="20"/>
      <x:c r="E86" s="20"/>
      <x:c r="F86" s="20"/>
      <x:c r="G86" s="20"/>
      <x:c r="H86" s="20"/>
      <x:c r="I86" s="23"/>
      <x:c r="J86" s="20"/>
      <x:c r="K86" s="20"/>
      <x:c r="L86" s="20"/>
      <x:c r="M86" s="23"/>
      <x:c r="N86" s="23"/>
    </x:row>
    <x:row r="87">
      <x:c r="A87" s="20"/>
      <x:c r="B87" s="20"/>
      <x:c r="C87" s="20"/>
      <x:c r="D87" s="20"/>
      <x:c r="E87" s="20"/>
      <x:c r="F87" s="20"/>
      <x:c r="G87" s="20"/>
      <x:c r="H87" s="20"/>
      <x:c r="I87" s="23"/>
      <x:c r="J87" s="20"/>
      <x:c r="K87" s="20"/>
      <x:c r="L87" s="20"/>
      <x:c r="M87" s="23"/>
      <x:c r="N87" s="23"/>
    </x:row>
    <x:row r="88">
      <x:c r="A88" s="20"/>
      <x:c r="B88" s="20"/>
      <x:c r="C88" s="20"/>
      <x:c r="D88" s="20"/>
      <x:c r="E88" s="20"/>
      <x:c r="F88" s="20"/>
      <x:c r="G88" s="20"/>
      <x:c r="H88" s="20"/>
      <x:c r="I88" s="23"/>
      <x:c r="J88" s="20"/>
      <x:c r="K88" s="20"/>
      <x:c r="L88" s="20"/>
      <x:c r="M88" s="23"/>
      <x:c r="N88" s="23"/>
    </x:row>
    <x:row r="89">
      <x:c r="A89" s="20"/>
      <x:c r="B89" s="20"/>
      <x:c r="C89" s="20"/>
      <x:c r="D89" s="20"/>
      <x:c r="E89" s="20"/>
      <x:c r="F89" s="20"/>
      <x:c r="G89" s="20"/>
      <x:c r="H89" s="20"/>
      <x:c r="I89" s="23"/>
      <x:c r="J89" s="20"/>
      <x:c r="K89" s="20"/>
      <x:c r="L89" s="20"/>
      <x:c r="M89" s="23"/>
      <x:c r="N89" s="23"/>
    </x:row>
    <x:row r="90">
      <x:c r="A90" s="20"/>
      <x:c r="B90" s="20"/>
      <x:c r="C90" s="20"/>
      <x:c r="D90" s="20"/>
      <x:c r="E90" s="20"/>
      <x:c r="F90" s="20"/>
      <x:c r="G90" s="20"/>
      <x:c r="H90" s="20"/>
      <x:c r="I90" s="23"/>
      <x:c r="J90" s="20"/>
      <x:c r="K90" s="20"/>
      <x:c r="L90" s="20"/>
      <x:c r="M90" s="23"/>
      <x:c r="N90" s="23"/>
    </x:row>
    <x:row r="91">
      <x:c r="A91" s="20"/>
      <x:c r="B91" s="20"/>
      <x:c r="C91" s="20"/>
      <x:c r="D91" s="20"/>
      <x:c r="E91" s="20"/>
      <x:c r="F91" s="20"/>
      <x:c r="G91" s="20"/>
      <x:c r="H91" s="20"/>
      <x:c r="I91" s="23"/>
      <x:c r="J91" s="20"/>
      <x:c r="K91" s="20"/>
      <x:c r="L91" s="20"/>
      <x:c r="M91" s="23"/>
      <x:c r="N91" s="23"/>
    </x:row>
    <x:row r="92">
      <x:c r="A92" s="20"/>
      <x:c r="B92" s="20"/>
      <x:c r="C92" s="20"/>
      <x:c r="D92" s="20"/>
      <x:c r="E92" s="20"/>
      <x:c r="F92" s="20"/>
      <x:c r="G92" s="20"/>
      <x:c r="H92" s="20"/>
      <x:c r="I92" s="23"/>
      <x:c r="J92" s="20"/>
      <x:c r="K92" s="20"/>
      <x:c r="L92" s="20"/>
      <x:c r="M92" s="23"/>
      <x:c r="N92" s="23"/>
    </x:row>
    <x:row r="93">
      <x:c r="A93" s="20"/>
      <x:c r="B93" s="20"/>
      <x:c r="C93" s="20"/>
      <x:c r="D93" s="20"/>
      <x:c r="E93" s="20"/>
      <x:c r="F93" s="20"/>
      <x:c r="G93" s="20"/>
      <x:c r="H93" s="20"/>
      <x:c r="I93" s="23"/>
      <x:c r="J93" s="20"/>
      <x:c r="K93" s="20"/>
      <x:c r="L93" s="20"/>
      <x:c r="M93" s="23"/>
      <x:c r="N93" s="23"/>
    </x:row>
    <x:row r="94">
      <x:c r="A94" s="20"/>
      <x:c r="B94" s="20"/>
      <x:c r="C94" s="20"/>
      <x:c r="D94" s="20"/>
      <x:c r="E94" s="20"/>
      <x:c r="F94" s="20"/>
      <x:c r="G94" s="20"/>
      <x:c r="H94" s="20"/>
      <x:c r="I94" s="23"/>
      <x:c r="J94" s="20"/>
      <x:c r="K94" s="20"/>
      <x:c r="L94" s="20"/>
      <x:c r="M94" s="23"/>
      <x:c r="N94" s="23"/>
    </x:row>
    <x:row r="95">
      <x:c r="A95" s="20"/>
      <x:c r="B95" s="20"/>
      <x:c r="C95" s="20"/>
      <x:c r="D95" s="20"/>
      <x:c r="E95" s="20"/>
      <x:c r="F95" s="20"/>
      <x:c r="G95" s="20"/>
      <x:c r="H95" s="20"/>
      <x:c r="I95" s="23"/>
      <x:c r="J95" s="20"/>
      <x:c r="K95" s="20"/>
      <x:c r="L95" s="20"/>
      <x:c r="M95" s="23"/>
      <x:c r="N95" s="23"/>
    </x:row>
    <x:row r="96">
      <x:c r="A96" s="20"/>
      <x:c r="B96" s="20"/>
      <x:c r="C96" s="20"/>
      <x:c r="D96" s="20"/>
      <x:c r="E96" s="20"/>
      <x:c r="F96" s="20"/>
      <x:c r="G96" s="20"/>
      <x:c r="H96" s="20"/>
      <x:c r="I96" s="23"/>
      <x:c r="J96" s="20"/>
      <x:c r="K96" s="20"/>
      <x:c r="L96" s="20"/>
      <x:c r="M96" s="23"/>
      <x:c r="N96" s="23"/>
    </x:row>
    <x:row r="97">
      <x:c r="A97" s="20"/>
      <x:c r="B97" s="20"/>
      <x:c r="C97" s="20"/>
      <x:c r="D97" s="20"/>
      <x:c r="E97" s="20"/>
      <x:c r="F97" s="20"/>
      <x:c r="G97" s="20"/>
      <x:c r="H97" s="20"/>
      <x:c r="I97" s="23"/>
      <x:c r="J97" s="20"/>
      <x:c r="K97" s="20"/>
      <x:c r="L97" s="20"/>
      <x:c r="M97" s="23"/>
      <x:c r="N97" s="23"/>
    </x:row>
    <x:row r="98">
      <x:c r="A98" s="20"/>
      <x:c r="B98" s="20"/>
      <x:c r="C98" s="20"/>
      <x:c r="D98" s="20"/>
      <x:c r="E98" s="20"/>
      <x:c r="F98" s="20"/>
      <x:c r="G98" s="20"/>
      <x:c r="H98" s="20"/>
      <x:c r="I98" s="23"/>
      <x:c r="J98" s="20"/>
      <x:c r="K98" s="20"/>
      <x:c r="L98" s="20"/>
      <x:c r="M98" s="23"/>
      <x:c r="N98" s="23"/>
    </x:row>
    <x:row r="99">
      <x:c r="A99" s="20"/>
      <x:c r="B99" s="20"/>
      <x:c r="C99" s="20"/>
      <x:c r="D99" s="20"/>
      <x:c r="E99" s="20"/>
      <x:c r="F99" s="20"/>
      <x:c r="G99" s="20"/>
      <x:c r="H99" s="20"/>
      <x:c r="I99" s="23"/>
      <x:c r="J99" s="20"/>
      <x:c r="K99" s="20"/>
      <x:c r="L99" s="20"/>
      <x:c r="M99" s="23"/>
      <x:c r="N99" s="23"/>
    </x:row>
    <x:row r="100">
      <x:c r="A100" s="20"/>
      <x:c r="B100" s="20"/>
      <x:c r="C100" s="20"/>
      <x:c r="D100" s="20"/>
      <x:c r="E100" s="20"/>
      <x:c r="F100" s="20"/>
      <x:c r="G100" s="20"/>
      <x:c r="H100" s="20"/>
      <x:c r="I100" s="23"/>
      <x:c r="J100" s="20"/>
      <x:c r="K100" s="20"/>
      <x:c r="L100" s="20"/>
      <x:c r="M100" s="23"/>
      <x:c r="N100" s="23"/>
    </x:row>
    <x:row r="101">
      <x:c r="A101" s="20"/>
      <x:c r="B101" s="20"/>
      <x:c r="C101" s="20"/>
      <x:c r="D101" s="20"/>
      <x:c r="E101" s="20"/>
      <x:c r="F101" s="20"/>
      <x:c r="G101" s="20"/>
      <x:c r="H101" s="20"/>
      <x:c r="I101" s="23"/>
      <x:c r="J101" s="20"/>
      <x:c r="K101" s="20"/>
      <x:c r="L101" s="20"/>
      <x:c r="M101" s="23"/>
      <x:c r="N101" s="23"/>
    </x:row>
    <x:row r="102">
      <x:c r="A102" s="20"/>
      <x:c r="B102" s="20"/>
      <x:c r="C102" s="20"/>
      <x:c r="D102" s="20"/>
      <x:c r="E102" s="20"/>
      <x:c r="F102" s="20"/>
      <x:c r="G102" s="20"/>
      <x:c r="H102" s="20"/>
      <x:c r="I102" s="23"/>
      <x:c r="J102" s="20"/>
      <x:c r="K102" s="20"/>
      <x:c r="L102" s="20"/>
      <x:c r="M102" s="23"/>
      <x:c r="N102" s="23"/>
    </x:row>
    <x:row r="103">
      <x:c r="A103" s="20"/>
      <x:c r="B103" s="20"/>
      <x:c r="C103" s="20"/>
      <x:c r="D103" s="20"/>
      <x:c r="E103" s="20"/>
      <x:c r="F103" s="20"/>
      <x:c r="G103" s="20"/>
      <x:c r="H103" s="20"/>
      <x:c r="I103" s="23"/>
      <x:c r="J103" s="20"/>
      <x:c r="K103" s="20"/>
      <x:c r="L103" s="20"/>
      <x:c r="M103" s="23"/>
      <x:c r="N103" s="23"/>
    </x:row>
    <x:row r="104">
      <x:c r="A104" s="20"/>
      <x:c r="B104" s="20"/>
      <x:c r="C104" s="20"/>
      <x:c r="D104" s="20"/>
      <x:c r="E104" s="20"/>
      <x:c r="F104" s="20"/>
      <x:c r="G104" s="20"/>
      <x:c r="H104" s="20"/>
      <x:c r="I104" s="23"/>
      <x:c r="J104" s="20"/>
      <x:c r="K104" s="20"/>
      <x:c r="L104" s="20"/>
      <x:c r="M104" s="23"/>
      <x:c r="N104" s="23"/>
    </x:row>
    <x:row r="105">
      <x:c r="A105" s="20"/>
      <x:c r="B105" s="20"/>
      <x:c r="C105" s="20"/>
      <x:c r="D105" s="20"/>
      <x:c r="E105" s="20"/>
      <x:c r="F105" s="20"/>
      <x:c r="G105" s="20"/>
      <x:c r="H105" s="20"/>
      <x:c r="I105" s="23"/>
      <x:c r="J105" s="20"/>
      <x:c r="K105" s="20"/>
      <x:c r="L105" s="20"/>
      <x:c r="M105" s="23"/>
      <x:c r="N105" s="23"/>
    </x:row>
    <x:row r="106">
      <x:c r="A106" s="20"/>
      <x:c r="B106" s="20"/>
      <x:c r="C106" s="20"/>
      <x:c r="D106" s="20"/>
      <x:c r="E106" s="20"/>
      <x:c r="F106" s="20"/>
      <x:c r="G106" s="20"/>
      <x:c r="H106" s="20"/>
      <x:c r="I106" s="23"/>
      <x:c r="J106" s="20"/>
      <x:c r="K106" s="20"/>
      <x:c r="L106" s="20"/>
      <x:c r="M106" s="23"/>
      <x:c r="N106" s="23"/>
    </x:row>
    <x:row r="107">
      <x:c r="A107" s="20"/>
      <x:c r="B107" s="20"/>
      <x:c r="C107" s="20"/>
      <x:c r="D107" s="20"/>
      <x:c r="E107" s="20"/>
      <x:c r="F107" s="20"/>
      <x:c r="G107" s="20"/>
      <x:c r="H107" s="20"/>
      <x:c r="I107" s="23"/>
      <x:c r="J107" s="20"/>
      <x:c r="K107" s="20"/>
      <x:c r="L107" s="20"/>
      <x:c r="M107" s="23"/>
      <x:c r="N107" s="23"/>
    </x:row>
    <x:row r="108">
      <x:c r="A108" s="20"/>
      <x:c r="B108" s="20"/>
      <x:c r="C108" s="20"/>
      <x:c r="D108" s="20"/>
      <x:c r="E108" s="20"/>
      <x:c r="F108" s="20"/>
      <x:c r="G108" s="20"/>
      <x:c r="H108" s="20"/>
      <x:c r="I108" s="23"/>
      <x:c r="J108" s="20"/>
      <x:c r="K108" s="20"/>
      <x:c r="L108" s="20"/>
      <x:c r="M108" s="23"/>
      <x:c r="N108" s="23"/>
    </x:row>
    <x:row r="109">
      <x:c r="A109" s="20"/>
      <x:c r="B109" s="20"/>
      <x:c r="C109" s="20"/>
      <x:c r="D109" s="20"/>
      <x:c r="E109" s="20"/>
      <x:c r="F109" s="20"/>
      <x:c r="G109" s="20"/>
      <x:c r="H109" s="20"/>
      <x:c r="I109" s="23"/>
      <x:c r="J109" s="20"/>
      <x:c r="K109" s="20"/>
      <x:c r="L109" s="20"/>
      <x:c r="M109" s="23"/>
      <x:c r="N109" s="23"/>
    </x:row>
    <x:row r="110">
      <x:c r="A110" s="20"/>
      <x:c r="B110" s="20"/>
      <x:c r="C110" s="20"/>
      <x:c r="D110" s="20"/>
      <x:c r="E110" s="20"/>
      <x:c r="F110" s="20"/>
      <x:c r="G110" s="20"/>
      <x:c r="H110" s="20"/>
      <x:c r="I110" s="23"/>
      <x:c r="J110" s="20"/>
      <x:c r="K110" s="20"/>
      <x:c r="L110" s="20"/>
      <x:c r="M110" s="23"/>
      <x:c r="N110" s="23"/>
    </x:row>
    <x:row r="111">
      <x:c r="A111" s="20"/>
      <x:c r="B111" s="20"/>
      <x:c r="C111" s="20"/>
      <x:c r="D111" s="20"/>
      <x:c r="E111" s="20"/>
      <x:c r="F111" s="20"/>
      <x:c r="G111" s="20"/>
      <x:c r="H111" s="20"/>
      <x:c r="I111" s="23"/>
      <x:c r="J111" s="20"/>
      <x:c r="K111" s="20"/>
      <x:c r="L111" s="20"/>
      <x:c r="M111" s="23"/>
      <x:c r="N111" s="23"/>
    </x:row>
    <x:row r="112">
      <x:c r="A112" s="20"/>
      <x:c r="B112" s="20"/>
      <x:c r="C112" s="20"/>
      <x:c r="D112" s="20"/>
      <x:c r="E112" s="20"/>
      <x:c r="F112" s="20"/>
      <x:c r="G112" s="20"/>
      <x:c r="H112" s="20"/>
      <x:c r="I112" s="23"/>
      <x:c r="J112" s="20"/>
      <x:c r="K112" s="20"/>
      <x:c r="L112" s="20"/>
      <x:c r="M112" s="23"/>
      <x:c r="N112" s="23"/>
    </x:row>
    <x:row r="113">
      <x:c r="A113" s="20"/>
      <x:c r="B113" s="20"/>
      <x:c r="C113" s="20"/>
      <x:c r="D113" s="20"/>
      <x:c r="E113" s="20"/>
      <x:c r="F113" s="20"/>
      <x:c r="G113" s="20"/>
      <x:c r="H113" s="20"/>
      <x:c r="I113" s="23"/>
      <x:c r="J113" s="20"/>
      <x:c r="K113" s="20"/>
      <x:c r="L113" s="20"/>
      <x:c r="M113" s="23"/>
      <x:c r="N113" s="23"/>
    </x:row>
    <x:row r="114">
      <x:c r="A114" s="20"/>
      <x:c r="B114" s="20"/>
      <x:c r="C114" s="20"/>
      <x:c r="D114" s="20"/>
      <x:c r="E114" s="20"/>
      <x:c r="F114" s="20"/>
      <x:c r="G114" s="20"/>
      <x:c r="H114" s="20"/>
      <x:c r="I114" s="23"/>
      <x:c r="J114" s="20"/>
      <x:c r="K114" s="20"/>
      <x:c r="L114" s="20"/>
      <x:c r="M114" s="23"/>
      <x:c r="N114" s="23"/>
    </x:row>
    <x:row r="115">
      <x:c r="A115" s="20"/>
      <x:c r="B115" s="20"/>
      <x:c r="C115" s="20"/>
      <x:c r="D115" s="20"/>
      <x:c r="E115" s="20"/>
      <x:c r="F115" s="20"/>
      <x:c r="G115" s="20"/>
      <x:c r="H115" s="20"/>
      <x:c r="I115" s="23"/>
      <x:c r="J115" s="20"/>
      <x:c r="K115" s="20"/>
      <x:c r="L115" s="20"/>
      <x:c r="M115" s="23"/>
      <x:c r="N115" s="23"/>
    </x:row>
    <x:row r="116">
      <x:c r="A116" s="20"/>
      <x:c r="B116" s="20"/>
      <x:c r="C116" s="20"/>
      <x:c r="D116" s="20"/>
      <x:c r="E116" s="20"/>
      <x:c r="F116" s="20"/>
      <x:c r="G116" s="20"/>
      <x:c r="H116" s="20"/>
      <x:c r="I116" s="23"/>
      <x:c r="J116" s="20"/>
      <x:c r="K116" s="20"/>
      <x:c r="L116" s="20"/>
      <x:c r="M116" s="23"/>
      <x:c r="N116" s="23"/>
    </x:row>
    <x:row r="117">
      <x:c r="A117" s="20"/>
      <x:c r="B117" s="20"/>
      <x:c r="C117" s="20"/>
      <x:c r="D117" s="20"/>
      <x:c r="E117" s="20"/>
      <x:c r="F117" s="20"/>
      <x:c r="G117" s="20"/>
      <x:c r="H117" s="20"/>
      <x:c r="I117" s="23"/>
      <x:c r="J117" s="20"/>
      <x:c r="K117" s="20"/>
      <x:c r="L117" s="20"/>
      <x:c r="M117" s="23"/>
      <x:c r="N117" s="23"/>
    </x:row>
    <x:row r="118">
      <x:c r="A118" s="20"/>
      <x:c r="B118" s="20"/>
      <x:c r="C118" s="20"/>
      <x:c r="D118" s="20"/>
      <x:c r="E118" s="20"/>
      <x:c r="F118" s="20"/>
      <x:c r="G118" s="20"/>
      <x:c r="H118" s="20"/>
      <x:c r="I118" s="23"/>
      <x:c r="J118" s="20"/>
      <x:c r="K118" s="20"/>
      <x:c r="L118" s="20"/>
      <x:c r="M118" s="23"/>
      <x:c r="N118" s="23"/>
    </x:row>
    <x:row r="119">
      <x:c r="A119" s="20"/>
      <x:c r="B119" s="20"/>
      <x:c r="C119" s="20"/>
      <x:c r="D119" s="20"/>
      <x:c r="E119" s="20"/>
      <x:c r="F119" s="20"/>
      <x:c r="G119" s="20"/>
      <x:c r="H119" s="20"/>
      <x:c r="I119" s="23"/>
      <x:c r="J119" s="20"/>
      <x:c r="K119" s="20"/>
      <x:c r="L119" s="20"/>
      <x:c r="M119" s="23"/>
      <x:c r="N119" s="23"/>
    </x:row>
    <x:row r="120">
      <x:c r="A120" s="20"/>
      <x:c r="B120" s="20"/>
      <x:c r="C120" s="20"/>
      <x:c r="D120" s="20"/>
      <x:c r="E120" s="20"/>
      <x:c r="F120" s="20"/>
      <x:c r="G120" s="20"/>
      <x:c r="H120" s="20"/>
      <x:c r="I120" s="23"/>
      <x:c r="J120" s="20"/>
      <x:c r="K120" s="20"/>
      <x:c r="L120" s="20"/>
      <x:c r="M120" s="23"/>
      <x:c r="N120" s="23"/>
    </x:row>
    <x:row r="121">
      <x:c r="A121" s="20"/>
      <x:c r="B121" s="20"/>
      <x:c r="C121" s="20"/>
      <x:c r="D121" s="20"/>
      <x:c r="E121" s="20"/>
      <x:c r="F121" s="20"/>
      <x:c r="G121" s="20"/>
      <x:c r="H121" s="20"/>
      <x:c r="I121" s="23"/>
      <x:c r="J121" s="20"/>
      <x:c r="K121" s="20"/>
      <x:c r="L121" s="20"/>
      <x:c r="M121" s="23"/>
      <x:c r="N121" s="23"/>
    </x:row>
    <x:row r="122">
      <x:c r="A122" s="20"/>
      <x:c r="B122" s="20"/>
      <x:c r="C122" s="20"/>
      <x:c r="D122" s="20"/>
      <x:c r="E122" s="20"/>
      <x:c r="F122" s="20"/>
      <x:c r="G122" s="20"/>
      <x:c r="H122" s="20"/>
      <x:c r="I122" s="23"/>
      <x:c r="J122" s="20"/>
      <x:c r="K122" s="20"/>
      <x:c r="L122" s="20"/>
      <x:c r="M122" s="23"/>
      <x:c r="N122" s="23"/>
    </x:row>
    <x:row r="123">
      <x:c r="A123" s="20"/>
      <x:c r="B123" s="20"/>
      <x:c r="C123" s="20"/>
      <x:c r="D123" s="20"/>
      <x:c r="E123" s="20"/>
      <x:c r="F123" s="20"/>
      <x:c r="G123" s="20"/>
      <x:c r="H123" s="20"/>
      <x:c r="I123" s="23"/>
      <x:c r="J123" s="20"/>
      <x:c r="K123" s="20"/>
      <x:c r="L123" s="20"/>
      <x:c r="M123" s="23"/>
      <x:c r="N123" s="23"/>
    </x:row>
    <x:row r="124">
      <x:c r="A124" s="20"/>
      <x:c r="B124" s="20"/>
      <x:c r="C124" s="20"/>
      <x:c r="D124" s="20"/>
      <x:c r="E124" s="20"/>
      <x:c r="F124" s="20"/>
      <x:c r="G124" s="20"/>
      <x:c r="H124" s="20"/>
      <x:c r="I124" s="23"/>
      <x:c r="J124" s="20"/>
      <x:c r="K124" s="20"/>
      <x:c r="L124" s="20"/>
      <x:c r="M124" s="23"/>
      <x:c r="N124" s="23"/>
    </x:row>
    <x:row r="125">
      <x:c r="A125" s="20"/>
      <x:c r="B125" s="20"/>
      <x:c r="C125" s="20"/>
      <x:c r="D125" s="20"/>
      <x:c r="E125" s="20"/>
      <x:c r="F125" s="20"/>
      <x:c r="G125" s="20"/>
      <x:c r="H125" s="20"/>
      <x:c r="I125" s="23"/>
      <x:c r="J125" s="20"/>
      <x:c r="K125" s="20"/>
      <x:c r="L125" s="20"/>
      <x:c r="M125" s="23"/>
      <x:c r="N125" s="23"/>
    </x:row>
    <x:row r="126">
      <x:c r="A126" s="20"/>
      <x:c r="B126" s="20"/>
      <x:c r="C126" s="20"/>
      <x:c r="D126" s="20"/>
      <x:c r="E126" s="20"/>
      <x:c r="F126" s="20"/>
      <x:c r="G126" s="20"/>
      <x:c r="H126" s="20"/>
      <x:c r="I126" s="23"/>
      <x:c r="J126" s="20"/>
      <x:c r="K126" s="20"/>
      <x:c r="L126" s="20"/>
      <x:c r="M126" s="23"/>
      <x:c r="N126" s="23"/>
    </x:row>
    <x:row r="127">
      <x:c r="A127" s="20"/>
      <x:c r="B127" s="20"/>
      <x:c r="C127" s="20"/>
      <x:c r="D127" s="20"/>
      <x:c r="E127" s="20"/>
      <x:c r="F127" s="20"/>
      <x:c r="G127" s="20"/>
      <x:c r="H127" s="20"/>
      <x:c r="I127" s="23"/>
      <x:c r="J127" s="20"/>
      <x:c r="K127" s="20"/>
      <x:c r="L127" s="20"/>
      <x:c r="M127" s="23"/>
      <x:c r="N127" s="23"/>
    </x:row>
    <x:row r="128">
      <x:c r="A128" s="20"/>
      <x:c r="B128" s="20"/>
      <x:c r="C128" s="20"/>
      <x:c r="D128" s="20"/>
      <x:c r="E128" s="20"/>
      <x:c r="F128" s="20"/>
      <x:c r="G128" s="20"/>
      <x:c r="H128" s="20"/>
      <x:c r="I128" s="23"/>
      <x:c r="J128" s="20"/>
      <x:c r="K128" s="20"/>
      <x:c r="L128" s="20"/>
      <x:c r="M128" s="23"/>
      <x:c r="N128" s="23"/>
    </x:row>
    <x:row r="129">
      <x:c r="A129" s="20"/>
      <x:c r="B129" s="20"/>
      <x:c r="C129" s="20"/>
      <x:c r="D129" s="20"/>
      <x:c r="E129" s="20"/>
      <x:c r="F129" s="20"/>
      <x:c r="G129" s="20"/>
      <x:c r="H129" s="20"/>
      <x:c r="I129" s="23"/>
      <x:c r="J129" s="20"/>
      <x:c r="K129" s="20"/>
      <x:c r="L129" s="20"/>
      <x:c r="M129" s="23"/>
      <x:c r="N129" s="23"/>
    </x:row>
    <x:row r="130">
      <x:c r="A130" s="20"/>
      <x:c r="B130" s="20"/>
      <x:c r="C130" s="20"/>
      <x:c r="D130" s="20"/>
      <x:c r="E130" s="20"/>
      <x:c r="F130" s="20"/>
      <x:c r="G130" s="20"/>
      <x:c r="H130" s="20"/>
      <x:c r="I130" s="23"/>
      <x:c r="J130" s="20"/>
      <x:c r="K130" s="20"/>
      <x:c r="L130" s="20"/>
      <x:c r="M130" s="23"/>
      <x:c r="N130" s="23"/>
    </x:row>
    <x:row r="131">
      <x:c r="A131" s="20"/>
      <x:c r="B131" s="20"/>
      <x:c r="C131" s="20"/>
      <x:c r="D131" s="20"/>
      <x:c r="E131" s="20"/>
      <x:c r="F131" s="20"/>
      <x:c r="G131" s="20"/>
      <x:c r="H131" s="20"/>
      <x:c r="I131" s="23"/>
      <x:c r="J131" s="20"/>
      <x:c r="K131" s="20"/>
      <x:c r="L131" s="20"/>
      <x:c r="M131" s="23"/>
      <x:c r="N131" s="23"/>
    </x:row>
    <x:row r="132">
      <x:c r="A132" s="20"/>
      <x:c r="B132" s="20"/>
      <x:c r="C132" s="20"/>
      <x:c r="D132" s="20"/>
      <x:c r="E132" s="20"/>
      <x:c r="F132" s="20"/>
      <x:c r="G132" s="20"/>
      <x:c r="H132" s="20"/>
      <x:c r="I132" s="23"/>
      <x:c r="J132" s="20"/>
      <x:c r="K132" s="20"/>
      <x:c r="L132" s="20"/>
      <x:c r="M132" s="23"/>
      <x:c r="N132" s="23"/>
    </x:row>
    <x:row r="133">
      <x:c r="A133" s="20"/>
      <x:c r="B133" s="20"/>
      <x:c r="C133" s="20"/>
      <x:c r="D133" s="20"/>
      <x:c r="E133" s="20"/>
      <x:c r="F133" s="20"/>
      <x:c r="G133" s="20"/>
      <x:c r="H133" s="20"/>
      <x:c r="I133" s="23"/>
      <x:c r="J133" s="20"/>
      <x:c r="K133" s="20"/>
      <x:c r="L133" s="20"/>
      <x:c r="M133" s="23"/>
      <x:c r="N133" s="23"/>
    </x:row>
    <x:row r="134">
      <x:c r="A134" s="20"/>
      <x:c r="B134" s="20"/>
      <x:c r="C134" s="20"/>
      <x:c r="D134" s="20"/>
      <x:c r="E134" s="20"/>
      <x:c r="F134" s="20"/>
      <x:c r="G134" s="20"/>
      <x:c r="H134" s="20"/>
      <x:c r="I134" s="23"/>
      <x:c r="J134" s="20"/>
      <x:c r="K134" s="20"/>
      <x:c r="L134" s="20"/>
      <x:c r="M134" s="23"/>
      <x:c r="N134" s="23"/>
    </x:row>
    <x:row r="135">
      <x:c r="A135" s="20"/>
      <x:c r="B135" s="20"/>
      <x:c r="C135" s="20"/>
      <x:c r="D135" s="20"/>
      <x:c r="E135" s="20"/>
      <x:c r="F135" s="20"/>
      <x:c r="G135" s="20"/>
      <x:c r="H135" s="20"/>
      <x:c r="I135" s="23"/>
      <x:c r="J135" s="20"/>
      <x:c r="K135" s="20"/>
      <x:c r="L135" s="20"/>
      <x:c r="M135" s="23"/>
      <x:c r="N135" s="23"/>
    </x:row>
    <x:row r="136">
      <x:c r="A136" s="20"/>
      <x:c r="B136" s="20"/>
      <x:c r="C136" s="20"/>
      <x:c r="D136" s="20"/>
      <x:c r="E136" s="20"/>
      <x:c r="F136" s="20"/>
      <x:c r="G136" s="20"/>
      <x:c r="H136" s="20"/>
      <x:c r="I136" s="23"/>
      <x:c r="J136" s="20"/>
      <x:c r="K136" s="20"/>
      <x:c r="L136" s="20"/>
      <x:c r="M136" s="23"/>
      <x:c r="N136" s="23"/>
    </x:row>
    <x:row r="137">
      <x:c r="A137" s="20"/>
      <x:c r="B137" s="20"/>
      <x:c r="C137" s="20"/>
      <x:c r="D137" s="20"/>
      <x:c r="E137" s="20"/>
      <x:c r="F137" s="20"/>
      <x:c r="G137" s="20"/>
      <x:c r="H137" s="20"/>
      <x:c r="I137" s="23"/>
      <x:c r="J137" s="20"/>
      <x:c r="K137" s="20"/>
      <x:c r="L137" s="20"/>
      <x:c r="M137" s="23"/>
      <x:c r="N137" s="23"/>
    </x:row>
    <x:row r="138">
      <x:c r="A138" s="20"/>
      <x:c r="B138" s="20"/>
      <x:c r="C138" s="20"/>
      <x:c r="D138" s="20"/>
      <x:c r="E138" s="20"/>
      <x:c r="F138" s="20"/>
      <x:c r="G138" s="20"/>
      <x:c r="H138" s="20"/>
      <x:c r="I138" s="23"/>
      <x:c r="J138" s="20"/>
      <x:c r="K138" s="20"/>
      <x:c r="L138" s="20"/>
      <x:c r="M138" s="23"/>
      <x:c r="N138" s="23"/>
    </x:row>
    <x:row r="139">
      <x:c r="A139" s="20"/>
      <x:c r="B139" s="20"/>
      <x:c r="C139" s="20"/>
      <x:c r="D139" s="20"/>
      <x:c r="E139" s="20"/>
      <x:c r="F139" s="20"/>
      <x:c r="G139" s="20"/>
      <x:c r="H139" s="20"/>
      <x:c r="I139" s="23"/>
      <x:c r="J139" s="20"/>
      <x:c r="K139" s="20"/>
      <x:c r="L139" s="20"/>
      <x:c r="M139" s="23"/>
      <x:c r="N139" s="23"/>
    </x:row>
    <x:row r="140">
      <x:c r="A140" s="20"/>
      <x:c r="B140" s="20"/>
      <x:c r="C140" s="20"/>
      <x:c r="D140" s="20"/>
      <x:c r="E140" s="20"/>
      <x:c r="F140" s="20"/>
      <x:c r="G140" s="20"/>
      <x:c r="H140" s="20"/>
      <x:c r="I140" s="23"/>
      <x:c r="J140" s="20"/>
      <x:c r="K140" s="20"/>
      <x:c r="L140" s="20"/>
      <x:c r="M140" s="23"/>
      <x:c r="N140" s="23"/>
    </x:row>
    <x:row r="141">
      <x:c r="A141" s="20"/>
      <x:c r="B141" s="20"/>
      <x:c r="C141" s="20"/>
      <x:c r="D141" s="20"/>
      <x:c r="E141" s="20"/>
      <x:c r="F141" s="20"/>
      <x:c r="G141" s="20"/>
      <x:c r="H141" s="20"/>
      <x:c r="I141" s="23"/>
      <x:c r="J141" s="20"/>
      <x:c r="K141" s="20"/>
      <x:c r="L141" s="20"/>
      <x:c r="M141" s="23"/>
      <x:c r="N141" s="23"/>
    </x:row>
    <x:row r="142">
      <x:c r="A142" s="20"/>
      <x:c r="B142" s="20"/>
      <x:c r="C142" s="20"/>
      <x:c r="D142" s="20"/>
      <x:c r="E142" s="20"/>
      <x:c r="F142" s="20"/>
      <x:c r="G142" s="20"/>
      <x:c r="H142" s="20"/>
      <x:c r="I142" s="23"/>
      <x:c r="J142" s="20"/>
      <x:c r="K142" s="20"/>
      <x:c r="L142" s="20"/>
      <x:c r="M142" s="23"/>
      <x:c r="N142" s="23"/>
    </x:row>
    <x:row r="143">
      <x:c r="A143" s="20"/>
      <x:c r="B143" s="20"/>
      <x:c r="C143" s="20"/>
      <x:c r="D143" s="20"/>
      <x:c r="E143" s="20"/>
      <x:c r="F143" s="20"/>
      <x:c r="G143" s="20"/>
      <x:c r="H143" s="20"/>
      <x:c r="I143" s="23"/>
      <x:c r="J143" s="20"/>
      <x:c r="K143" s="20"/>
      <x:c r="L143" s="20"/>
      <x:c r="M143" s="23"/>
      <x:c r="N143" s="23"/>
    </x:row>
    <x:row r="144">
      <x:c r="A144" s="20"/>
      <x:c r="B144" s="20"/>
      <x:c r="C144" s="20"/>
      <x:c r="D144" s="20"/>
      <x:c r="E144" s="20"/>
      <x:c r="F144" s="20"/>
      <x:c r="G144" s="20"/>
      <x:c r="H144" s="20"/>
      <x:c r="I144" s="23"/>
      <x:c r="J144" s="20"/>
      <x:c r="K144" s="20"/>
      <x:c r="L144" s="20"/>
      <x:c r="M144" s="23"/>
      <x:c r="N144" s="23"/>
    </x:row>
    <x:row r="145">
      <x:c r="A145" s="20"/>
      <x:c r="B145" s="20"/>
      <x:c r="C145" s="20"/>
      <x:c r="D145" s="20"/>
      <x:c r="E145" s="20"/>
      <x:c r="F145" s="20"/>
      <x:c r="G145" s="20"/>
      <x:c r="H145" s="20"/>
      <x:c r="I145" s="23"/>
      <x:c r="J145" s="20"/>
      <x:c r="K145" s="20"/>
      <x:c r="L145" s="20"/>
      <x:c r="M145" s="23"/>
      <x:c r="N145" s="23"/>
    </x:row>
    <x:row r="146">
      <x:c r="A146" s="20"/>
      <x:c r="B146" s="20"/>
      <x:c r="C146" s="20"/>
      <x:c r="D146" s="20"/>
      <x:c r="E146" s="20"/>
      <x:c r="F146" s="20"/>
      <x:c r="G146" s="20"/>
      <x:c r="H146" s="20"/>
      <x:c r="I146" s="23"/>
      <x:c r="J146" s="20"/>
      <x:c r="K146" s="20"/>
      <x:c r="L146" s="20"/>
      <x:c r="M146" s="23"/>
      <x:c r="N146" s="23"/>
    </x:row>
    <x:row r="147">
      <x:c r="A147" s="20"/>
      <x:c r="B147" s="20"/>
      <x:c r="C147" s="20"/>
      <x:c r="D147" s="20"/>
      <x:c r="E147" s="20"/>
      <x:c r="F147" s="20"/>
      <x:c r="G147" s="20"/>
      <x:c r="H147" s="20"/>
      <x:c r="I147" s="23"/>
      <x:c r="J147" s="20"/>
      <x:c r="K147" s="20"/>
      <x:c r="L147" s="20"/>
      <x:c r="M147" s="23"/>
      <x:c r="N147" s="23"/>
    </x:row>
    <x:row r="148">
      <x:c r="A148" s="20"/>
      <x:c r="B148" s="20"/>
      <x:c r="C148" s="20"/>
      <x:c r="D148" s="20"/>
      <x:c r="E148" s="20"/>
      <x:c r="F148" s="20"/>
      <x:c r="G148" s="20"/>
      <x:c r="H148" s="20"/>
      <x:c r="I148" s="23"/>
      <x:c r="J148" s="20"/>
      <x:c r="K148" s="20"/>
      <x:c r="L148" s="20"/>
      <x:c r="M148" s="23"/>
      <x:c r="N148" s="23"/>
    </x:row>
    <x:row r="149">
      <x:c r="A149" s="20"/>
      <x:c r="B149" s="20"/>
      <x:c r="C149" s="20"/>
      <x:c r="D149" s="20"/>
      <x:c r="E149" s="20"/>
      <x:c r="F149" s="20"/>
      <x:c r="G149" s="20"/>
      <x:c r="H149" s="20"/>
      <x:c r="I149" s="23"/>
      <x:c r="J149" s="20"/>
      <x:c r="K149" s="20"/>
      <x:c r="L149" s="20"/>
      <x:c r="M149" s="23"/>
      <x:c r="N149" s="23"/>
    </x:row>
    <x:row r="150">
      <x:c r="A150" s="20"/>
      <x:c r="B150" s="20"/>
      <x:c r="C150" s="20"/>
      <x:c r="D150" s="20"/>
      <x:c r="E150" s="20"/>
      <x:c r="F150" s="20"/>
      <x:c r="G150" s="20"/>
      <x:c r="H150" s="20"/>
      <x:c r="I150" s="23"/>
      <x:c r="J150" s="20"/>
      <x:c r="K150" s="20"/>
      <x:c r="L150" s="20"/>
      <x:c r="M150" s="23"/>
      <x:c r="N150" s="23"/>
    </x:row>
    <x:row r="151">
      <x:c r="A151" s="20"/>
      <x:c r="B151" s="20"/>
      <x:c r="C151" s="20"/>
      <x:c r="D151" s="20"/>
      <x:c r="E151" s="20"/>
      <x:c r="F151" s="20"/>
      <x:c r="G151" s="20"/>
      <x:c r="H151" s="20"/>
      <x:c r="I151" s="23"/>
      <x:c r="J151" s="20"/>
      <x:c r="K151" s="20"/>
      <x:c r="L151" s="20"/>
      <x:c r="M151" s="23"/>
      <x:c r="N151" s="23"/>
    </x:row>
    <x:row r="152">
      <x:c r="A152" s="20"/>
      <x:c r="B152" s="20"/>
      <x:c r="C152" s="20"/>
      <x:c r="D152" s="20"/>
      <x:c r="E152" s="20"/>
      <x:c r="F152" s="20"/>
      <x:c r="G152" s="20"/>
      <x:c r="H152" s="20"/>
      <x:c r="I152" s="23"/>
      <x:c r="J152" s="20"/>
      <x:c r="K152" s="20"/>
      <x:c r="L152" s="20"/>
      <x:c r="M152" s="23"/>
      <x:c r="N152" s="23"/>
    </x:row>
    <x:row r="153">
      <x:c r="A153" s="20"/>
      <x:c r="B153" s="20"/>
      <x:c r="C153" s="20"/>
      <x:c r="D153" s="20"/>
      <x:c r="E153" s="20"/>
      <x:c r="F153" s="20"/>
      <x:c r="G153" s="20"/>
      <x:c r="H153" s="20"/>
      <x:c r="I153" s="23"/>
      <x:c r="J153" s="20"/>
      <x:c r="K153" s="20"/>
      <x:c r="L153" s="20"/>
      <x:c r="M153" s="23"/>
      <x:c r="N153" s="23"/>
    </x:row>
    <x:row r="154">
      <x:c r="A154" s="20"/>
      <x:c r="B154" s="20"/>
      <x:c r="C154" s="20"/>
      <x:c r="D154" s="20"/>
      <x:c r="E154" s="20"/>
      <x:c r="F154" s="20"/>
      <x:c r="G154" s="20"/>
      <x:c r="H154" s="20"/>
      <x:c r="I154" s="23"/>
      <x:c r="J154" s="20"/>
      <x:c r="K154" s="20"/>
      <x:c r="L154" s="20"/>
      <x:c r="M154" s="23"/>
      <x:c r="N154" s="23"/>
    </x:row>
    <x:row r="155">
      <x:c r="A155" s="20"/>
      <x:c r="B155" s="20"/>
      <x:c r="C155" s="20"/>
      <x:c r="D155" s="20"/>
      <x:c r="E155" s="20"/>
      <x:c r="F155" s="20"/>
      <x:c r="G155" s="20"/>
      <x:c r="H155" s="20"/>
      <x:c r="I155" s="23"/>
      <x:c r="J155" s="20"/>
      <x:c r="K155" s="20"/>
      <x:c r="L155" s="20"/>
      <x:c r="M155" s="23"/>
      <x:c r="N155" s="23"/>
    </x:row>
    <x:row r="156">
      <x:c r="A156" s="20"/>
      <x:c r="B156" s="20"/>
      <x:c r="C156" s="20"/>
      <x:c r="D156" s="20"/>
      <x:c r="E156" s="20"/>
      <x:c r="F156" s="20"/>
      <x:c r="G156" s="20"/>
      <x:c r="H156" s="20"/>
      <x:c r="I156" s="23"/>
      <x:c r="J156" s="20"/>
      <x:c r="K156" s="20"/>
      <x:c r="L156" s="20"/>
      <x:c r="M156" s="23"/>
      <x:c r="N156" s="23"/>
    </x:row>
    <x:row r="157">
      <x:c r="A157" s="20"/>
      <x:c r="B157" s="20"/>
      <x:c r="C157" s="20"/>
      <x:c r="D157" s="20"/>
      <x:c r="E157" s="20"/>
      <x:c r="F157" s="20"/>
      <x:c r="G157" s="20"/>
      <x:c r="H157" s="20"/>
      <x:c r="I157" s="23"/>
      <x:c r="J157" s="20"/>
      <x:c r="K157" s="20"/>
      <x:c r="L157" s="20"/>
      <x:c r="M157" s="23"/>
      <x:c r="N157" s="23"/>
    </x:row>
    <x:row r="158">
      <x:c r="A158" s="20"/>
      <x:c r="B158" s="20"/>
      <x:c r="C158" s="20"/>
      <x:c r="D158" s="20"/>
      <x:c r="E158" s="20"/>
      <x:c r="F158" s="20"/>
      <x:c r="G158" s="20"/>
      <x:c r="H158" s="20"/>
      <x:c r="I158" s="23"/>
      <x:c r="J158" s="20"/>
      <x:c r="K158" s="20"/>
      <x:c r="L158" s="20"/>
      <x:c r="M158" s="23"/>
      <x:c r="N158" s="23"/>
    </x:row>
    <x:row r="159">
      <x:c r="A159" s="20"/>
      <x:c r="B159" s="20"/>
      <x:c r="C159" s="20"/>
      <x:c r="D159" s="20"/>
      <x:c r="E159" s="20"/>
      <x:c r="F159" s="20"/>
      <x:c r="G159" s="20"/>
      <x:c r="H159" s="20"/>
      <x:c r="I159" s="23"/>
      <x:c r="J159" s="20"/>
      <x:c r="K159" s="20"/>
      <x:c r="L159" s="20"/>
      <x:c r="M159" s="23"/>
      <x:c r="N159" s="23"/>
    </x:row>
    <x:row r="160">
      <x:c r="A160" s="20"/>
      <x:c r="B160" s="20"/>
      <x:c r="C160" s="20"/>
      <x:c r="D160" s="20"/>
      <x:c r="E160" s="20"/>
      <x:c r="F160" s="20"/>
      <x:c r="G160" s="20"/>
      <x:c r="H160" s="20"/>
      <x:c r="I160" s="23"/>
      <x:c r="J160" s="20"/>
      <x:c r="K160" s="20"/>
      <x:c r="L160" s="20"/>
      <x:c r="M160" s="23"/>
      <x:c r="N160" s="23"/>
    </x:row>
    <x:row r="161">
      <x:c r="A161" s="20"/>
      <x:c r="B161" s="20"/>
      <x:c r="C161" s="20"/>
      <x:c r="D161" s="20"/>
      <x:c r="E161" s="20"/>
      <x:c r="F161" s="20"/>
      <x:c r="G161" s="20"/>
      <x:c r="H161" s="20"/>
      <x:c r="I161" s="23"/>
      <x:c r="J161" s="20"/>
      <x:c r="K161" s="20"/>
      <x:c r="L161" s="20"/>
      <x:c r="M161" s="23"/>
      <x:c r="N161" s="23"/>
    </x:row>
    <x:row r="162">
      <x:c r="A162" s="20"/>
      <x:c r="B162" s="20"/>
      <x:c r="C162" s="20"/>
      <x:c r="D162" s="20"/>
      <x:c r="E162" s="20"/>
      <x:c r="F162" s="20"/>
      <x:c r="G162" s="20"/>
      <x:c r="H162" s="20"/>
      <x:c r="I162" s="23"/>
      <x:c r="J162" s="20"/>
      <x:c r="K162" s="20"/>
      <x:c r="L162" s="20"/>
      <x:c r="M162" s="23"/>
      <x:c r="N162" s="23"/>
    </x:row>
    <x:row r="163">
      <x:c r="A163" s="20"/>
      <x:c r="B163" s="20"/>
      <x:c r="C163" s="20"/>
      <x:c r="D163" s="20"/>
      <x:c r="E163" s="20"/>
      <x:c r="F163" s="20"/>
      <x:c r="G163" s="20"/>
      <x:c r="H163" s="20"/>
      <x:c r="I163" s="23"/>
      <x:c r="J163" s="20"/>
      <x:c r="K163" s="20"/>
      <x:c r="L163" s="20"/>
      <x:c r="M163" s="23"/>
      <x:c r="N163" s="23"/>
    </x:row>
    <x:row r="164">
      <x:c r="A164" s="20"/>
      <x:c r="B164" s="20"/>
      <x:c r="C164" s="20"/>
      <x:c r="D164" s="20"/>
      <x:c r="E164" s="20"/>
      <x:c r="F164" s="20"/>
      <x:c r="G164" s="20"/>
      <x:c r="H164" s="20"/>
      <x:c r="I164" s="23"/>
      <x:c r="J164" s="20"/>
      <x:c r="K164" s="20"/>
      <x:c r="L164" s="20"/>
      <x:c r="M164" s="23"/>
      <x:c r="N164" s="23"/>
    </x:row>
    <x:row r="165">
      <x:c r="A165" s="20"/>
      <x:c r="B165" s="20"/>
      <x:c r="C165" s="20"/>
      <x:c r="D165" s="20"/>
      <x:c r="E165" s="20"/>
      <x:c r="F165" s="20"/>
      <x:c r="G165" s="20"/>
      <x:c r="H165" s="20"/>
      <x:c r="I165" s="23"/>
      <x:c r="J165" s="20"/>
      <x:c r="K165" s="20"/>
      <x:c r="L165" s="20"/>
      <x:c r="M165" s="23"/>
      <x:c r="N165" s="23"/>
    </x:row>
    <x:row r="166">
      <x:c r="A166" s="20"/>
      <x:c r="B166" s="20"/>
      <x:c r="C166" s="20"/>
      <x:c r="D166" s="20"/>
      <x:c r="E166" s="20"/>
      <x:c r="F166" s="20"/>
      <x:c r="G166" s="20"/>
      <x:c r="H166" s="20"/>
      <x:c r="I166" s="23"/>
      <x:c r="J166" s="20"/>
      <x:c r="K166" s="20"/>
      <x:c r="L166" s="20"/>
      <x:c r="M166" s="23"/>
      <x:c r="N166" s="23"/>
    </x:row>
    <x:row r="167">
      <x:c r="A167" s="20"/>
      <x:c r="B167" s="20"/>
      <x:c r="C167" s="20"/>
      <x:c r="D167" s="20"/>
      <x:c r="E167" s="20"/>
      <x:c r="F167" s="20"/>
      <x:c r="G167" s="20"/>
      <x:c r="H167" s="20"/>
      <x:c r="I167" s="23"/>
      <x:c r="J167" s="20"/>
      <x:c r="K167" s="20"/>
      <x:c r="L167" s="20"/>
      <x:c r="M167" s="23"/>
      <x:c r="N167" s="23"/>
    </x:row>
    <x:row r="168">
      <x:c r="A168" s="20"/>
      <x:c r="B168" s="20"/>
      <x:c r="C168" s="20"/>
      <x:c r="D168" s="20"/>
      <x:c r="E168" s="20"/>
      <x:c r="F168" s="20"/>
      <x:c r="G168" s="20"/>
      <x:c r="H168" s="20"/>
      <x:c r="I168" s="23"/>
      <x:c r="J168" s="20"/>
      <x:c r="K168" s="20"/>
      <x:c r="L168" s="20"/>
      <x:c r="M168" s="23"/>
      <x:c r="N168" s="23"/>
    </x:row>
    <x:row r="169">
      <x:c r="A169" s="20"/>
      <x:c r="B169" s="20"/>
      <x:c r="C169" s="20"/>
      <x:c r="D169" s="20"/>
      <x:c r="E169" s="20"/>
      <x:c r="F169" s="20"/>
      <x:c r="G169" s="20"/>
      <x:c r="H169" s="20"/>
      <x:c r="I169" s="23"/>
      <x:c r="J169" s="20"/>
      <x:c r="K169" s="20"/>
      <x:c r="L169" s="20"/>
      <x:c r="M169" s="23"/>
      <x:c r="N169" s="23"/>
    </x:row>
    <x:row r="170">
      <x:c r="A170" s="20"/>
      <x:c r="B170" s="20"/>
      <x:c r="C170" s="20"/>
      <x:c r="D170" s="20"/>
      <x:c r="E170" s="20"/>
      <x:c r="F170" s="20"/>
      <x:c r="G170" s="20"/>
      <x:c r="H170" s="20"/>
      <x:c r="I170" s="23"/>
      <x:c r="J170" s="20"/>
      <x:c r="K170" s="20"/>
      <x:c r="L170" s="20"/>
      <x:c r="M170" s="23"/>
      <x:c r="N170" s="23"/>
    </x:row>
    <x:row r="171">
      <x:c r="A171" s="20"/>
      <x:c r="B171" s="20"/>
      <x:c r="C171" s="20"/>
      <x:c r="D171" s="20"/>
      <x:c r="E171" s="20"/>
      <x:c r="F171" s="20"/>
      <x:c r="G171" s="20"/>
      <x:c r="H171" s="20"/>
      <x:c r="I171" s="23"/>
      <x:c r="J171" s="20"/>
      <x:c r="K171" s="20"/>
      <x:c r="L171" s="20"/>
      <x:c r="M171" s="23"/>
      <x:c r="N171" s="23"/>
    </x:row>
    <x:row r="172">
      <x:c r="A172" s="20"/>
      <x:c r="B172" s="20"/>
      <x:c r="C172" s="20"/>
      <x:c r="D172" s="20"/>
      <x:c r="E172" s="20"/>
      <x:c r="F172" s="20"/>
      <x:c r="G172" s="20"/>
      <x:c r="H172" s="20"/>
      <x:c r="I172" s="23"/>
      <x:c r="J172" s="20"/>
      <x:c r="K172" s="20"/>
      <x:c r="L172" s="20"/>
      <x:c r="M172" s="23"/>
      <x:c r="N172" s="23"/>
    </x:row>
    <x:row r="173">
      <x:c r="A173" s="20"/>
      <x:c r="B173" s="20"/>
      <x:c r="C173" s="20"/>
      <x:c r="D173" s="20"/>
      <x:c r="E173" s="20"/>
      <x:c r="F173" s="20"/>
      <x:c r="G173" s="20"/>
      <x:c r="H173" s="20"/>
      <x:c r="I173" s="23"/>
      <x:c r="J173" s="20"/>
      <x:c r="K173" s="20"/>
      <x:c r="L173" s="20"/>
      <x:c r="M173" s="23"/>
      <x:c r="N173" s="23"/>
    </x:row>
    <x:row r="174">
      <x:c r="A174" s="20"/>
      <x:c r="B174" s="20"/>
      <x:c r="C174" s="20"/>
      <x:c r="D174" s="20"/>
      <x:c r="E174" s="20"/>
      <x:c r="F174" s="20"/>
      <x:c r="G174" s="20"/>
      <x:c r="H174" s="20"/>
      <x:c r="I174" s="23"/>
      <x:c r="J174" s="20"/>
      <x:c r="K174" s="20"/>
      <x:c r="L174" s="20"/>
      <x:c r="M174" s="23"/>
      <x:c r="N174" s="23"/>
    </x:row>
    <x:row r="175">
      <x:c r="A175" s="20"/>
      <x:c r="B175" s="20"/>
      <x:c r="C175" s="20"/>
      <x:c r="D175" s="20"/>
      <x:c r="E175" s="20"/>
      <x:c r="F175" s="20"/>
      <x:c r="G175" s="20"/>
      <x:c r="H175" s="20"/>
      <x:c r="I175" s="23"/>
      <x:c r="J175" s="20"/>
      <x:c r="K175" s="20"/>
      <x:c r="L175" s="20"/>
      <x:c r="M175" s="23"/>
      <x:c r="N175" s="23"/>
    </x:row>
    <x:row r="176">
      <x:c r="A176" s="20"/>
      <x:c r="B176" s="20"/>
      <x:c r="C176" s="20"/>
      <x:c r="D176" s="20"/>
      <x:c r="E176" s="20"/>
      <x:c r="F176" s="20"/>
      <x:c r="G176" s="20"/>
      <x:c r="H176" s="20"/>
      <x:c r="I176" s="23"/>
      <x:c r="J176" s="20"/>
      <x:c r="K176" s="20"/>
      <x:c r="L176" s="20"/>
      <x:c r="M176" s="23"/>
      <x:c r="N176" s="23"/>
    </x:row>
    <x:row r="177">
      <x:c r="A177" s="20"/>
      <x:c r="B177" s="20"/>
      <x:c r="C177" s="20"/>
      <x:c r="D177" s="20"/>
      <x:c r="E177" s="20"/>
      <x:c r="F177" s="20"/>
      <x:c r="G177" s="20"/>
      <x:c r="H177" s="20"/>
      <x:c r="I177" s="23"/>
      <x:c r="J177" s="20"/>
      <x:c r="K177" s="20"/>
      <x:c r="L177" s="20"/>
      <x:c r="M177" s="23"/>
      <x:c r="N177" s="23"/>
    </x:row>
    <x:row r="178">
      <x:c r="A178" s="20"/>
      <x:c r="B178" s="20"/>
      <x:c r="C178" s="20"/>
      <x:c r="D178" s="20"/>
      <x:c r="E178" s="20"/>
      <x:c r="F178" s="20"/>
      <x:c r="G178" s="20"/>
      <x:c r="H178" s="20"/>
      <x:c r="I178" s="23"/>
      <x:c r="J178" s="20"/>
      <x:c r="K178" s="20"/>
      <x:c r="L178" s="20"/>
      <x:c r="M178" s="23"/>
      <x:c r="N178" s="23"/>
    </x:row>
    <x:row r="179">
      <x:c r="A179" s="20"/>
      <x:c r="B179" s="20"/>
      <x:c r="C179" s="20"/>
      <x:c r="D179" s="20"/>
      <x:c r="E179" s="20"/>
      <x:c r="F179" s="20"/>
      <x:c r="G179" s="20"/>
      <x:c r="H179" s="20"/>
      <x:c r="I179" s="23"/>
      <x:c r="J179" s="20"/>
      <x:c r="K179" s="20"/>
      <x:c r="L179" s="20"/>
      <x:c r="M179" s="23"/>
      <x:c r="N179" s="23"/>
    </x:row>
    <x:row r="180">
      <x:c r="A180" s="20"/>
      <x:c r="B180" s="20"/>
      <x:c r="C180" s="20"/>
      <x:c r="D180" s="20"/>
      <x:c r="E180" s="20"/>
      <x:c r="F180" s="20"/>
      <x:c r="G180" s="20"/>
      <x:c r="H180" s="20"/>
      <x:c r="I180" s="23"/>
      <x:c r="J180" s="20"/>
      <x:c r="K180" s="20"/>
      <x:c r="L180" s="20"/>
      <x:c r="M180" s="23"/>
      <x:c r="N180" s="23"/>
    </x:row>
    <x:row r="181">
      <x:c r="A181" s="20"/>
      <x:c r="B181" s="20"/>
      <x:c r="C181" s="20"/>
      <x:c r="D181" s="20"/>
      <x:c r="E181" s="20"/>
      <x:c r="F181" s="20"/>
      <x:c r="G181" s="20"/>
      <x:c r="H181" s="20"/>
      <x:c r="I181" s="23"/>
      <x:c r="J181" s="20"/>
      <x:c r="K181" s="20"/>
      <x:c r="L181" s="20"/>
      <x:c r="M181" s="23"/>
      <x:c r="N181" s="23"/>
    </x:row>
    <x:row r="182">
      <x:c r="A182" s="20"/>
      <x:c r="B182" s="20"/>
      <x:c r="C182" s="20"/>
      <x:c r="D182" s="20"/>
      <x:c r="E182" s="20"/>
      <x:c r="F182" s="20"/>
      <x:c r="G182" s="20"/>
      <x:c r="H182" s="20"/>
      <x:c r="I182" s="23"/>
      <x:c r="J182" s="20"/>
      <x:c r="K182" s="20"/>
      <x:c r="L182" s="20"/>
      <x:c r="M182" s="23"/>
      <x:c r="N182" s="23"/>
    </x:row>
    <x:row r="183">
      <x:c r="A183" s="20"/>
      <x:c r="B183" s="20"/>
      <x:c r="C183" s="20"/>
      <x:c r="D183" s="20"/>
      <x:c r="E183" s="20"/>
      <x:c r="F183" s="20"/>
      <x:c r="G183" s="20"/>
      <x:c r="H183" s="20"/>
      <x:c r="I183" s="23"/>
      <x:c r="J183" s="20"/>
      <x:c r="K183" s="20"/>
      <x:c r="L183" s="20"/>
      <x:c r="M183" s="23"/>
      <x:c r="N183" s="23"/>
    </x:row>
    <x:row r="184">
      <x:c r="A184" s="20"/>
      <x:c r="B184" s="20"/>
      <x:c r="C184" s="20"/>
      <x:c r="D184" s="20"/>
      <x:c r="E184" s="20"/>
      <x:c r="F184" s="20"/>
      <x:c r="G184" s="20"/>
      <x:c r="H184" s="20"/>
      <x:c r="I184" s="23"/>
      <x:c r="J184" s="20"/>
      <x:c r="K184" s="20"/>
      <x:c r="L184" s="20"/>
      <x:c r="M184" s="23"/>
      <x:c r="N184" s="23"/>
    </x:row>
    <x:row r="185">
      <x:c r="A185" s="20"/>
      <x:c r="B185" s="20"/>
      <x:c r="C185" s="20"/>
      <x:c r="D185" s="20"/>
      <x:c r="E185" s="20"/>
      <x:c r="F185" s="20"/>
      <x:c r="G185" s="20"/>
      <x:c r="H185" s="20"/>
      <x:c r="I185" s="23"/>
      <x:c r="J185" s="20"/>
      <x:c r="K185" s="20"/>
      <x:c r="L185" s="20"/>
      <x:c r="M185" s="23"/>
      <x:c r="N185" s="23"/>
    </x:row>
    <x:row r="186">
      <x:c r="A186" s="20"/>
      <x:c r="B186" s="20"/>
      <x:c r="C186" s="20"/>
      <x:c r="D186" s="20"/>
      <x:c r="E186" s="20"/>
      <x:c r="F186" s="20"/>
      <x:c r="G186" s="20"/>
      <x:c r="H186" s="20"/>
      <x:c r="I186" s="23"/>
      <x:c r="J186" s="20"/>
      <x:c r="K186" s="20"/>
      <x:c r="L186" s="20"/>
      <x:c r="M186" s="23"/>
      <x:c r="N186" s="23"/>
    </x:row>
    <x:row r="187">
      <x:c r="A187" s="20"/>
      <x:c r="B187" s="20"/>
      <x:c r="C187" s="20"/>
      <x:c r="D187" s="20"/>
      <x:c r="E187" s="20"/>
      <x:c r="F187" s="20"/>
      <x:c r="G187" s="20"/>
      <x:c r="H187" s="20"/>
      <x:c r="I187" s="23"/>
      <x:c r="J187" s="20"/>
      <x:c r="K187" s="20"/>
      <x:c r="L187" s="20"/>
      <x:c r="M187" s="23"/>
      <x:c r="N187" s="23"/>
    </x:row>
    <x:row r="188">
      <x:c r="A188" s="20"/>
      <x:c r="B188" s="20"/>
      <x:c r="C188" s="20"/>
      <x:c r="D188" s="20"/>
      <x:c r="E188" s="20"/>
      <x:c r="F188" s="20"/>
      <x:c r="G188" s="20"/>
      <x:c r="H188" s="20"/>
      <x:c r="I188" s="23"/>
      <x:c r="J188" s="20"/>
      <x:c r="K188" s="20"/>
      <x:c r="L188" s="20"/>
      <x:c r="M188" s="23"/>
      <x:c r="N188" s="23"/>
    </x:row>
    <x:row r="189">
      <x:c r="A189" s="20"/>
      <x:c r="B189" s="20"/>
      <x:c r="C189" s="20"/>
      <x:c r="D189" s="20"/>
      <x:c r="E189" s="20"/>
      <x:c r="F189" s="20"/>
      <x:c r="G189" s="20"/>
      <x:c r="H189" s="20"/>
      <x:c r="I189" s="23"/>
      <x:c r="J189" s="20"/>
      <x:c r="K189" s="20"/>
      <x:c r="L189" s="20"/>
      <x:c r="M189" s="23"/>
      <x:c r="N189" s="23"/>
    </x:row>
    <x:row r="190">
      <x:c r="A190" s="20"/>
      <x:c r="B190" s="20"/>
      <x:c r="C190" s="20"/>
      <x:c r="D190" s="20"/>
      <x:c r="E190" s="20"/>
      <x:c r="F190" s="20"/>
      <x:c r="G190" s="20"/>
      <x:c r="H190" s="20"/>
      <x:c r="I190" s="23"/>
      <x:c r="J190" s="20"/>
      <x:c r="K190" s="20"/>
      <x:c r="L190" s="20"/>
      <x:c r="M190" s="23"/>
      <x:c r="N190" s="23"/>
    </x:row>
    <x:row r="191">
      <x:c r="A191" s="20"/>
      <x:c r="B191" s="20"/>
      <x:c r="C191" s="20"/>
      <x:c r="D191" s="20"/>
      <x:c r="E191" s="20"/>
      <x:c r="F191" s="20"/>
      <x:c r="G191" s="20"/>
      <x:c r="H191" s="20"/>
      <x:c r="I191" s="23"/>
      <x:c r="J191" s="20"/>
      <x:c r="K191" s="20"/>
      <x:c r="L191" s="20"/>
      <x:c r="M191" s="23"/>
      <x:c r="N191" s="23"/>
    </x:row>
    <x:row r="192">
      <x:c r="A192" s="20"/>
      <x:c r="B192" s="20"/>
      <x:c r="C192" s="20"/>
      <x:c r="D192" s="20"/>
      <x:c r="E192" s="20"/>
      <x:c r="F192" s="20"/>
      <x:c r="G192" s="20"/>
      <x:c r="H192" s="20"/>
      <x:c r="I192" s="23"/>
      <x:c r="J192" s="20"/>
      <x:c r="K192" s="20"/>
      <x:c r="L192" s="20"/>
      <x:c r="M192" s="23"/>
      <x:c r="N192" s="23"/>
    </x:row>
    <x:row r="193">
      <x:c r="A193" s="20"/>
      <x:c r="B193" s="20"/>
      <x:c r="C193" s="20"/>
      <x:c r="D193" s="20"/>
      <x:c r="E193" s="20"/>
      <x:c r="F193" s="20"/>
      <x:c r="G193" s="20"/>
      <x:c r="H193" s="20"/>
      <x:c r="I193" s="23"/>
      <x:c r="J193" s="20"/>
      <x:c r="K193" s="20"/>
      <x:c r="L193" s="20"/>
      <x:c r="M193" s="23"/>
      <x:c r="N193" s="23"/>
    </x:row>
    <x:row r="194">
      <x:c r="A194" s="20"/>
      <x:c r="B194" s="20"/>
      <x:c r="C194" s="20"/>
      <x:c r="D194" s="20"/>
      <x:c r="E194" s="20"/>
      <x:c r="F194" s="20"/>
      <x:c r="G194" s="20"/>
      <x:c r="H194" s="20"/>
      <x:c r="I194" s="23"/>
      <x:c r="J194" s="20"/>
      <x:c r="K194" s="20"/>
      <x:c r="L194" s="20"/>
      <x:c r="M194" s="23"/>
      <x:c r="N194" s="23"/>
    </x:row>
    <x:row r="195">
      <x:c r="A195" s="20"/>
      <x:c r="B195" s="20"/>
      <x:c r="C195" s="20"/>
      <x:c r="D195" s="20"/>
      <x:c r="E195" s="20"/>
      <x:c r="F195" s="20"/>
      <x:c r="G195" s="20"/>
      <x:c r="H195" s="20"/>
      <x:c r="I195" s="23"/>
      <x:c r="J195" s="20"/>
      <x:c r="K195" s="20"/>
      <x:c r="L195" s="20"/>
      <x:c r="M195" s="23"/>
      <x:c r="N195" s="23"/>
    </x:row>
    <x:row r="196">
      <x:c r="A196" s="20"/>
      <x:c r="B196" s="20"/>
      <x:c r="C196" s="20"/>
      <x:c r="D196" s="20"/>
      <x:c r="E196" s="20"/>
      <x:c r="F196" s="20"/>
      <x:c r="G196" s="20"/>
      <x:c r="H196" s="20"/>
      <x:c r="I196" s="23"/>
      <x:c r="J196" s="20"/>
      <x:c r="K196" s="20"/>
      <x:c r="L196" s="20"/>
      <x:c r="M196" s="23"/>
      <x:c r="N196" s="23"/>
    </x:row>
    <x:row r="197">
      <x:c r="A197" s="20"/>
      <x:c r="B197" s="20"/>
      <x:c r="C197" s="20"/>
      <x:c r="D197" s="20"/>
      <x:c r="E197" s="20"/>
      <x:c r="F197" s="20"/>
      <x:c r="G197" s="20"/>
      <x:c r="H197" s="20"/>
      <x:c r="I197" s="23"/>
      <x:c r="J197" s="20"/>
      <x:c r="K197" s="20"/>
      <x:c r="L197" s="20"/>
      <x:c r="M197" s="23"/>
      <x:c r="N197" s="23"/>
    </x:row>
    <x:row r="198">
      <x:c r="A198" s="20"/>
      <x:c r="B198" s="20"/>
      <x:c r="C198" s="20"/>
      <x:c r="D198" s="20"/>
      <x:c r="E198" s="20"/>
      <x:c r="F198" s="20"/>
      <x:c r="G198" s="20"/>
      <x:c r="H198" s="20"/>
      <x:c r="I198" s="23"/>
      <x:c r="J198" s="20"/>
      <x:c r="K198" s="20"/>
      <x:c r="L198" s="20"/>
      <x:c r="M198" s="23"/>
      <x:c r="N198" s="23"/>
    </x:row>
    <x:row r="199">
      <x:c r="A199" s="20"/>
      <x:c r="B199" s="20"/>
      <x:c r="C199" s="20"/>
      <x:c r="D199" s="20"/>
      <x:c r="E199" s="20"/>
      <x:c r="F199" s="20"/>
      <x:c r="G199" s="20"/>
      <x:c r="H199" s="20"/>
      <x:c r="I199" s="23"/>
      <x:c r="J199" s="20"/>
      <x:c r="K199" s="20"/>
      <x:c r="L199" s="20"/>
      <x:c r="M199" s="23"/>
      <x:c r="N199" s="23"/>
    </x:row>
    <x:row r="200">
      <x:c r="A200" s="20"/>
      <x:c r="B200" s="20"/>
      <x:c r="C200" s="20"/>
      <x:c r="D200" s="20"/>
      <x:c r="E200" s="20"/>
      <x:c r="F200" s="20"/>
      <x:c r="G200" s="20"/>
      <x:c r="H200" s="20"/>
      <x:c r="I200" s="23"/>
      <x:c r="J200" s="20"/>
      <x:c r="K200" s="20"/>
      <x:c r="L200" s="20"/>
      <x:c r="M200" s="23"/>
      <x:c r="N200" s="23"/>
    </x:row>
    <x:row r="201">
      <x:c r="A201" s="20"/>
      <x:c r="B201" s="20"/>
      <x:c r="C201" s="20"/>
      <x:c r="D201" s="20"/>
      <x:c r="E201" s="20"/>
      <x:c r="F201" s="20"/>
      <x:c r="G201" s="20"/>
      <x:c r="H201" s="20"/>
      <x:c r="I201" s="23"/>
      <x:c r="J201" s="20"/>
      <x:c r="K201" s="20"/>
      <x:c r="L201" s="20"/>
      <x:c r="M201" s="23"/>
      <x:c r="N201" s="23"/>
    </x:row>
    <x:row r="202">
      <x:c r="A202" s="20"/>
      <x:c r="B202" s="20"/>
      <x:c r="C202" s="20"/>
      <x:c r="D202" s="20"/>
      <x:c r="E202" s="20"/>
      <x:c r="F202" s="20"/>
      <x:c r="G202" s="20"/>
      <x:c r="H202" s="20"/>
      <x:c r="I202" s="23"/>
      <x:c r="J202" s="20"/>
      <x:c r="K202" s="20"/>
      <x:c r="L202" s="20"/>
      <x:c r="M202" s="23"/>
      <x:c r="N202" s="23"/>
    </x:row>
    <x:row r="203">
      <x:c r="A203" s="20"/>
      <x:c r="B203" s="20"/>
      <x:c r="C203" s="20"/>
      <x:c r="D203" s="20"/>
      <x:c r="E203" s="20"/>
      <x:c r="F203" s="20"/>
      <x:c r="G203" s="20"/>
      <x:c r="H203" s="20"/>
      <x:c r="I203" s="23"/>
      <x:c r="J203" s="20"/>
      <x:c r="K203" s="20"/>
      <x:c r="L203" s="20"/>
      <x:c r="M203" s="23"/>
      <x:c r="N203" s="23"/>
    </x:row>
    <x:row r="204">
      <x:c r="A204" s="21"/>
      <x:c r="B204" s="21"/>
      <x:c r="C204" s="21"/>
      <x:c r="D204" s="21"/>
      <x:c r="E204" s="21"/>
      <x:c r="F204" s="21"/>
      <x:c r="G204" s="21"/>
      <x:c r="H204" s="21"/>
      <x:c r="I204" s="24"/>
      <x:c r="J204" s="21"/>
      <x:c r="K204" s="21"/>
      <x:c r="L204" s="21"/>
      <x:c r="M204" s="24"/>
      <x:c r="N204" s="24"/>
    </x:row>
  </x:sheetData>
  <x:mergeCells>
    <x:mergeCell ref="A1:N1"/>
    <x:mergeCell ref="A2:N2"/>
  </x:mergeCells>
  <x:conditionalFormatting sqref="A5:N204">
    <x:cfRule type="expression" dxfId="3" priority="1">
      <x:formula>OR($E5="Open",$E5="Blocked",$E5="Failed",$E5="Rejected",$E5="Not Authorised")</x:formula>
    </x:cfRule>
    <x:cfRule type="expression" dxfId="4" priority="2">
      <x:formula>OR($E5="Approved",$E5="Passed",$E5="Closed",$E5="Authorised")</x:formula>
    </x:cfRule>
    <x:cfRule type="expression" dxfId="5" priority="3">
      <x:formula>OR($E5="Pending",$E5="In Progress",$E5="Investigating",$E5="Conditional")</x:formula>
    </x:cfRule>
  </x:conditionalFormatting>
  <x:dataValidations count="2">
    <x:dataValidation type="list" sqref="C5:C204">
      <x:formula1>"G0,G1,G2,G3,G4,G5,G6"</x:formula1>
    </x:dataValidation>
    <x:dataValidation type="list" sqref="E5:E204">
      <x:formula1>"Not Run,In Progress,Passed,Failed,Waived"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94e6326d2d34ed4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24" hidden="0" customWidth="1"/>
    <x:col min="6" max="6" width="34" hidden="0" customWidth="1"/>
    <x:col min="7" max="7" width="34" hidden="0" customWidth="1"/>
    <x:col min="8" max="8" width="30" hidden="0" customWidth="1"/>
    <x:col min="9" max="9" width="30" hidden="0" customWidth="1"/>
    <x:col min="10" max="10" width="18" hidden="0" customWidth="1"/>
    <x:col min="11" max="11" width="16" hidden="0" customWidth="1"/>
    <x:col min="12" max="12" width="18" hidden="0" customWidth="1"/>
    <x:col min="13" max="13" width="14" hidden="0" customWidth="1"/>
    <x:col min="14" max="14" width="14" hidden="0" customWidth="1"/>
    <x:col min="15" max="15" width="16" hidden="0" customWidth="1"/>
    <x:col min="16" max="16" width="20" hidden="0" customWidth="1"/>
    <x:col min="17" max="17" width="14" hidden="0" customWidth="1"/>
    <x:col min="18" max="18" width="18" hidden="0" customWidth="1"/>
    <x:col min="19" max="19" width="14" hidden="0" customWidth="1"/>
  </x:cols>
  <x:sheetData>
    <x:row r="1" ht="34" customHeight="1">
      <x:c r="A1" s="3" t="str">
        <x:v>DECISIONS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</x:row>
    <x:row r="2" ht="28" customHeight="1">
      <x:c r="A2" s="7" t="str">
        <x:v>Canonical architecture, product, operational and policy decisions. Supersede records; do not overwrite history.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  <x:c r="R2" s="7"/>
      <x:c r="S2" s="7"/>
    </x:row>
    <x:row r="4" ht="32" customHeight="1">
      <x:c r="A4" s="12" t="str">
        <x:v>Decision ID*</x:v>
      </x:c>
      <x:c r="B4" s="12" t="str">
        <x:v>Scope Type*</x:v>
      </x:c>
      <x:c r="C4" s="12" t="str">
        <x:v>Scope ID</x:v>
      </x:c>
      <x:c r="D4" s="12" t="str">
        <x:v>Candidate ID</x:v>
      </x:c>
      <x:c r="E4" s="12" t="str">
        <x:v>Title*</x:v>
      </x:c>
      <x:c r="F4" s="12" t="str">
        <x:v>Decision*</x:v>
      </x:c>
      <x:c r="G4" s="12" t="str">
        <x:v>Rationale*</x:v>
      </x:c>
      <x:c r="H4" s="12" t="str">
        <x:v>Alternatives Considered</x:v>
      </x:c>
      <x:c r="I4" s="12" t="str">
        <x:v>Consequences</x:v>
      </x:c>
      <x:c r="J4" s="12" t="str">
        <x:v>Owner*</x:v>
      </x:c>
      <x:c r="K4" s="12" t="str">
        <x:v>Decision Status*</x:v>
      </x:c>
      <x:c r="L4" s="12" t="str">
        <x:v>Approver*</x:v>
      </x:c>
      <x:c r="M4" s="12" t="str">
        <x:v>Decision Date</x:v>
      </x:c>
      <x:c r="N4" s="12" t="str">
        <x:v>Effective Date</x:v>
      </x:c>
      <x:c r="O4" s="12" t="str">
        <x:v>Supersedes ID</x:v>
      </x:c>
      <x:c r="P4" s="12" t="str">
        <x:v>Evidence IDs</x:v>
      </x:c>
      <x:c r="Q4" s="12" t="str">
        <x:v>Review Date</x:v>
      </x:c>
      <x:c r="R4" s="12" t="str">
        <x:v>Confidentiality*</x:v>
      </x:c>
      <x:c r="S4" s="12" t="str">
        <x:v>Last Updated*</x:v>
      </x:c>
    </x:row>
    <x:row r="5">
      <x:c r="A5" s="19"/>
      <x:c r="B5" s="19"/>
      <x:c r="C5" s="19"/>
      <x:c r="D5" s="19"/>
      <x:c r="E5" s="19"/>
      <x:c r="F5" s="19"/>
      <x:c r="G5" s="19"/>
      <x:c r="H5" s="19"/>
      <x:c r="I5" s="19"/>
      <x:c r="J5" s="19"/>
      <x:c r="K5" s="19"/>
      <x:c r="L5" s="19"/>
      <x:c r="M5" s="22"/>
      <x:c r="N5" s="22"/>
      <x:c r="O5" s="19"/>
      <x:c r="P5" s="19"/>
      <x:c r="Q5" s="22"/>
      <x:c r="R5" s="19"/>
      <x:c r="S5" s="22"/>
    </x:row>
    <x:row r="6">
      <x:c r="A6" s="20"/>
      <x:c r="B6" s="20"/>
      <x:c r="C6" s="20"/>
      <x:c r="D6" s="20"/>
      <x:c r="E6" s="20"/>
      <x:c r="F6" s="20"/>
      <x:c r="G6" s="20"/>
      <x:c r="H6" s="20"/>
      <x:c r="I6" s="20"/>
      <x:c r="J6" s="20"/>
      <x:c r="K6" s="20"/>
      <x:c r="L6" s="20"/>
      <x:c r="M6" s="23"/>
      <x:c r="N6" s="23"/>
      <x:c r="O6" s="20"/>
      <x:c r="P6" s="20"/>
      <x:c r="Q6" s="23"/>
      <x:c r="R6" s="20"/>
      <x:c r="S6" s="23"/>
    </x:row>
    <x:row r="7">
      <x:c r="A7" s="20"/>
      <x:c r="B7" s="20"/>
      <x:c r="C7" s="20"/>
      <x:c r="D7" s="20"/>
      <x:c r="E7" s="20"/>
      <x:c r="F7" s="20"/>
      <x:c r="G7" s="20"/>
      <x:c r="H7" s="20"/>
      <x:c r="I7" s="20"/>
      <x:c r="J7" s="20"/>
      <x:c r="K7" s="20"/>
      <x:c r="L7" s="20"/>
      <x:c r="M7" s="23"/>
      <x:c r="N7" s="23"/>
      <x:c r="O7" s="20"/>
      <x:c r="P7" s="20"/>
      <x:c r="Q7" s="23"/>
      <x:c r="R7" s="20"/>
      <x:c r="S7" s="23"/>
    </x:row>
    <x:row r="8">
      <x:c r="A8" s="20"/>
      <x:c r="B8" s="20"/>
      <x:c r="C8" s="20"/>
      <x:c r="D8" s="20"/>
      <x:c r="E8" s="20"/>
      <x:c r="F8" s="20"/>
      <x:c r="G8" s="20"/>
      <x:c r="H8" s="20"/>
      <x:c r="I8" s="20"/>
      <x:c r="J8" s="20"/>
      <x:c r="K8" s="20"/>
      <x:c r="L8" s="20"/>
      <x:c r="M8" s="23"/>
      <x:c r="N8" s="23"/>
      <x:c r="O8" s="20"/>
      <x:c r="P8" s="20"/>
      <x:c r="Q8" s="23"/>
      <x:c r="R8" s="20"/>
      <x:c r="S8" s="23"/>
    </x:row>
    <x:row r="9">
      <x:c r="A9" s="20"/>
      <x:c r="B9" s="20"/>
      <x:c r="C9" s="20"/>
      <x:c r="D9" s="20"/>
      <x:c r="E9" s="20"/>
      <x:c r="F9" s="20"/>
      <x:c r="G9" s="20"/>
      <x:c r="H9" s="20"/>
      <x:c r="I9" s="20"/>
      <x:c r="J9" s="20"/>
      <x:c r="K9" s="20"/>
      <x:c r="L9" s="20"/>
      <x:c r="M9" s="23"/>
      <x:c r="N9" s="23"/>
      <x:c r="O9" s="20"/>
      <x:c r="P9" s="20"/>
      <x:c r="Q9" s="23"/>
      <x:c r="R9" s="20"/>
      <x:c r="S9" s="23"/>
    </x:row>
    <x:row r="10">
      <x:c r="A10" s="20"/>
      <x:c r="B10" s="20"/>
      <x:c r="C10" s="20"/>
      <x:c r="D10" s="20"/>
      <x:c r="E10" s="20"/>
      <x:c r="F10" s="20"/>
      <x:c r="G10" s="20"/>
      <x:c r="H10" s="20"/>
      <x:c r="I10" s="20"/>
      <x:c r="J10" s="20"/>
      <x:c r="K10" s="20"/>
      <x:c r="L10" s="20"/>
      <x:c r="M10" s="23"/>
      <x:c r="N10" s="23"/>
      <x:c r="O10" s="20"/>
      <x:c r="P10" s="20"/>
      <x:c r="Q10" s="23"/>
      <x:c r="R10" s="20"/>
      <x:c r="S10" s="23"/>
    </x:row>
    <x:row r="11">
      <x:c r="A11" s="20"/>
      <x:c r="B11" s="20"/>
      <x:c r="C11" s="20"/>
      <x:c r="D11" s="20"/>
      <x:c r="E11" s="20"/>
      <x:c r="F11" s="20"/>
      <x:c r="G11" s="20"/>
      <x:c r="H11" s="20"/>
      <x:c r="I11" s="20"/>
      <x:c r="J11" s="20"/>
      <x:c r="K11" s="20"/>
      <x:c r="L11" s="20"/>
      <x:c r="M11" s="23"/>
      <x:c r="N11" s="23"/>
      <x:c r="O11" s="20"/>
      <x:c r="P11" s="20"/>
      <x:c r="Q11" s="23"/>
      <x:c r="R11" s="20"/>
      <x:c r="S11" s="23"/>
    </x:row>
    <x:row r="12">
      <x:c r="A12" s="20"/>
      <x:c r="B12" s="20"/>
      <x:c r="C12" s="20"/>
      <x:c r="D12" s="20"/>
      <x:c r="E12" s="20"/>
      <x:c r="F12" s="20"/>
      <x:c r="G12" s="20"/>
      <x:c r="H12" s="20"/>
      <x:c r="I12" s="20"/>
      <x:c r="J12" s="20"/>
      <x:c r="K12" s="20"/>
      <x:c r="L12" s="20"/>
      <x:c r="M12" s="23"/>
      <x:c r="N12" s="23"/>
      <x:c r="O12" s="20"/>
      <x:c r="P12" s="20"/>
      <x:c r="Q12" s="23"/>
      <x:c r="R12" s="20"/>
      <x:c r="S12" s="23"/>
    </x:row>
    <x:row r="13">
      <x:c r="A13" s="20"/>
      <x:c r="B13" s="20"/>
      <x:c r="C13" s="20"/>
      <x:c r="D13" s="20"/>
      <x:c r="E13" s="20"/>
      <x:c r="F13" s="20"/>
      <x:c r="G13" s="20"/>
      <x:c r="H13" s="20"/>
      <x:c r="I13" s="20"/>
      <x:c r="J13" s="20"/>
      <x:c r="K13" s="20"/>
      <x:c r="L13" s="20"/>
      <x:c r="M13" s="23"/>
      <x:c r="N13" s="23"/>
      <x:c r="O13" s="20"/>
      <x:c r="P13" s="20"/>
      <x:c r="Q13" s="23"/>
      <x:c r="R13" s="20"/>
      <x:c r="S13" s="23"/>
    </x:row>
    <x:row r="14">
      <x:c r="A14" s="20"/>
      <x:c r="B14" s="20"/>
      <x:c r="C14" s="20"/>
      <x:c r="D14" s="20"/>
      <x:c r="E14" s="20"/>
      <x:c r="F14" s="20"/>
      <x:c r="G14" s="20"/>
      <x:c r="H14" s="20"/>
      <x:c r="I14" s="20"/>
      <x:c r="J14" s="20"/>
      <x:c r="K14" s="20"/>
      <x:c r="L14" s="20"/>
      <x:c r="M14" s="23"/>
      <x:c r="N14" s="23"/>
      <x:c r="O14" s="20"/>
      <x:c r="P14" s="20"/>
      <x:c r="Q14" s="23"/>
      <x:c r="R14" s="20"/>
      <x:c r="S14" s="23"/>
    </x:row>
    <x:row r="15">
      <x:c r="A15" s="20"/>
      <x:c r="B15" s="20"/>
      <x:c r="C15" s="20"/>
      <x:c r="D15" s="20"/>
      <x:c r="E15" s="20"/>
      <x:c r="F15" s="20"/>
      <x:c r="G15" s="20"/>
      <x:c r="H15" s="20"/>
      <x:c r="I15" s="20"/>
      <x:c r="J15" s="20"/>
      <x:c r="K15" s="20"/>
      <x:c r="L15" s="20"/>
      <x:c r="M15" s="23"/>
      <x:c r="N15" s="23"/>
      <x:c r="O15" s="20"/>
      <x:c r="P15" s="20"/>
      <x:c r="Q15" s="23"/>
      <x:c r="R15" s="20"/>
      <x:c r="S15" s="23"/>
    </x:row>
    <x:row r="16">
      <x:c r="A16" s="20"/>
      <x:c r="B16" s="20"/>
      <x:c r="C16" s="20"/>
      <x:c r="D16" s="20"/>
      <x:c r="E16" s="20"/>
      <x:c r="F16" s="20"/>
      <x:c r="G16" s="20"/>
      <x:c r="H16" s="20"/>
      <x:c r="I16" s="20"/>
      <x:c r="J16" s="20"/>
      <x:c r="K16" s="20"/>
      <x:c r="L16" s="20"/>
      <x:c r="M16" s="23"/>
      <x:c r="N16" s="23"/>
      <x:c r="O16" s="20"/>
      <x:c r="P16" s="20"/>
      <x:c r="Q16" s="23"/>
      <x:c r="R16" s="20"/>
      <x:c r="S16" s="23"/>
    </x:row>
    <x:row r="17">
      <x:c r="A17" s="20"/>
      <x:c r="B17" s="20"/>
      <x:c r="C17" s="20"/>
      <x:c r="D17" s="20"/>
      <x:c r="E17" s="20"/>
      <x:c r="F17" s="20"/>
      <x:c r="G17" s="20"/>
      <x:c r="H17" s="20"/>
      <x:c r="I17" s="20"/>
      <x:c r="J17" s="20"/>
      <x:c r="K17" s="20"/>
      <x:c r="L17" s="20"/>
      <x:c r="M17" s="23"/>
      <x:c r="N17" s="23"/>
      <x:c r="O17" s="20"/>
      <x:c r="P17" s="20"/>
      <x:c r="Q17" s="23"/>
      <x:c r="R17" s="20"/>
      <x:c r="S17" s="23"/>
    </x:row>
    <x:row r="18">
      <x:c r="A18" s="20"/>
      <x:c r="B18" s="20"/>
      <x:c r="C18" s="20"/>
      <x:c r="D18" s="20"/>
      <x:c r="E18" s="20"/>
      <x:c r="F18" s="20"/>
      <x:c r="G18" s="20"/>
      <x:c r="H18" s="20"/>
      <x:c r="I18" s="20"/>
      <x:c r="J18" s="20"/>
      <x:c r="K18" s="20"/>
      <x:c r="L18" s="20"/>
      <x:c r="M18" s="23"/>
      <x:c r="N18" s="23"/>
      <x:c r="O18" s="20"/>
      <x:c r="P18" s="20"/>
      <x:c r="Q18" s="23"/>
      <x:c r="R18" s="20"/>
      <x:c r="S18" s="23"/>
    </x:row>
    <x:row r="19">
      <x:c r="A19" s="20"/>
      <x:c r="B19" s="20"/>
      <x:c r="C19" s="20"/>
      <x:c r="D19" s="20"/>
      <x:c r="E19" s="20"/>
      <x:c r="F19" s="20"/>
      <x:c r="G19" s="20"/>
      <x:c r="H19" s="20"/>
      <x:c r="I19" s="20"/>
      <x:c r="J19" s="20"/>
      <x:c r="K19" s="20"/>
      <x:c r="L19" s="20"/>
      <x:c r="M19" s="23"/>
      <x:c r="N19" s="23"/>
      <x:c r="O19" s="20"/>
      <x:c r="P19" s="20"/>
      <x:c r="Q19" s="23"/>
      <x:c r="R19" s="20"/>
      <x:c r="S19" s="23"/>
    </x:row>
    <x:row r="20">
      <x:c r="A20" s="20"/>
      <x:c r="B20" s="20"/>
      <x:c r="C20" s="20"/>
      <x:c r="D20" s="20"/>
      <x:c r="E20" s="20"/>
      <x:c r="F20" s="20"/>
      <x:c r="G20" s="20"/>
      <x:c r="H20" s="20"/>
      <x:c r="I20" s="20"/>
      <x:c r="J20" s="20"/>
      <x:c r="K20" s="20"/>
      <x:c r="L20" s="20"/>
      <x:c r="M20" s="23"/>
      <x:c r="N20" s="23"/>
      <x:c r="O20" s="20"/>
      <x:c r="P20" s="20"/>
      <x:c r="Q20" s="23"/>
      <x:c r="R20" s="20"/>
      <x:c r="S20" s="23"/>
    </x:row>
    <x:row r="21">
      <x:c r="A21" s="20"/>
      <x:c r="B21" s="20"/>
      <x:c r="C21" s="20"/>
      <x:c r="D21" s="20"/>
      <x:c r="E21" s="20"/>
      <x:c r="F21" s="20"/>
      <x:c r="G21" s="20"/>
      <x:c r="H21" s="20"/>
      <x:c r="I21" s="20"/>
      <x:c r="J21" s="20"/>
      <x:c r="K21" s="20"/>
      <x:c r="L21" s="20"/>
      <x:c r="M21" s="23"/>
      <x:c r="N21" s="23"/>
      <x:c r="O21" s="20"/>
      <x:c r="P21" s="20"/>
      <x:c r="Q21" s="23"/>
      <x:c r="R21" s="20"/>
      <x:c r="S21" s="23"/>
    </x:row>
    <x:row r="22">
      <x:c r="A22" s="20"/>
      <x:c r="B22" s="20"/>
      <x:c r="C22" s="20"/>
      <x:c r="D22" s="20"/>
      <x:c r="E22" s="20"/>
      <x:c r="F22" s="20"/>
      <x:c r="G22" s="20"/>
      <x:c r="H22" s="20"/>
      <x:c r="I22" s="20"/>
      <x:c r="J22" s="20"/>
      <x:c r="K22" s="20"/>
      <x:c r="L22" s="20"/>
      <x:c r="M22" s="23"/>
      <x:c r="N22" s="23"/>
      <x:c r="O22" s="20"/>
      <x:c r="P22" s="20"/>
      <x:c r="Q22" s="23"/>
      <x:c r="R22" s="20"/>
      <x:c r="S22" s="23"/>
    </x:row>
    <x:row r="23">
      <x:c r="A23" s="20"/>
      <x:c r="B23" s="20"/>
      <x:c r="C23" s="20"/>
      <x:c r="D23" s="20"/>
      <x:c r="E23" s="20"/>
      <x:c r="F23" s="20"/>
      <x:c r="G23" s="20"/>
      <x:c r="H23" s="20"/>
      <x:c r="I23" s="20"/>
      <x:c r="J23" s="20"/>
      <x:c r="K23" s="20"/>
      <x:c r="L23" s="20"/>
      <x:c r="M23" s="23"/>
      <x:c r="N23" s="23"/>
      <x:c r="O23" s="20"/>
      <x:c r="P23" s="20"/>
      <x:c r="Q23" s="23"/>
      <x:c r="R23" s="20"/>
      <x:c r="S23" s="23"/>
    </x:row>
    <x:row r="24">
      <x:c r="A24" s="20"/>
      <x:c r="B24" s="20"/>
      <x:c r="C24" s="20"/>
      <x:c r="D24" s="20"/>
      <x:c r="E24" s="20"/>
      <x:c r="F24" s="20"/>
      <x:c r="G24" s="20"/>
      <x:c r="H24" s="20"/>
      <x:c r="I24" s="20"/>
      <x:c r="J24" s="20"/>
      <x:c r="K24" s="20"/>
      <x:c r="L24" s="20"/>
      <x:c r="M24" s="23"/>
      <x:c r="N24" s="23"/>
      <x:c r="O24" s="20"/>
      <x:c r="P24" s="20"/>
      <x:c r="Q24" s="23"/>
      <x:c r="R24" s="20"/>
      <x:c r="S24" s="23"/>
    </x:row>
    <x:row r="25">
      <x:c r="A25" s="20"/>
      <x:c r="B25" s="20"/>
      <x:c r="C25" s="20"/>
      <x:c r="D25" s="20"/>
      <x:c r="E25" s="20"/>
      <x:c r="F25" s="20"/>
      <x:c r="G25" s="20"/>
      <x:c r="H25" s="20"/>
      <x:c r="I25" s="20"/>
      <x:c r="J25" s="20"/>
      <x:c r="K25" s="20"/>
      <x:c r="L25" s="20"/>
      <x:c r="M25" s="23"/>
      <x:c r="N25" s="23"/>
      <x:c r="O25" s="20"/>
      <x:c r="P25" s="20"/>
      <x:c r="Q25" s="23"/>
      <x:c r="R25" s="20"/>
      <x:c r="S25" s="23"/>
    </x:row>
    <x:row r="26">
      <x:c r="A26" s="20"/>
      <x:c r="B26" s="20"/>
      <x:c r="C26" s="20"/>
      <x:c r="D26" s="20"/>
      <x:c r="E26" s="20"/>
      <x:c r="F26" s="20"/>
      <x:c r="G26" s="20"/>
      <x:c r="H26" s="20"/>
      <x:c r="I26" s="20"/>
      <x:c r="J26" s="20"/>
      <x:c r="K26" s="20"/>
      <x:c r="L26" s="20"/>
      <x:c r="M26" s="23"/>
      <x:c r="N26" s="23"/>
      <x:c r="O26" s="20"/>
      <x:c r="P26" s="20"/>
      <x:c r="Q26" s="23"/>
      <x:c r="R26" s="20"/>
      <x:c r="S26" s="23"/>
    </x:row>
    <x:row r="27">
      <x:c r="A27" s="20"/>
      <x:c r="B27" s="20"/>
      <x:c r="C27" s="20"/>
      <x:c r="D27" s="20"/>
      <x:c r="E27" s="20"/>
      <x:c r="F27" s="20"/>
      <x:c r="G27" s="20"/>
      <x:c r="H27" s="20"/>
      <x:c r="I27" s="20"/>
      <x:c r="J27" s="20"/>
      <x:c r="K27" s="20"/>
      <x:c r="L27" s="20"/>
      <x:c r="M27" s="23"/>
      <x:c r="N27" s="23"/>
      <x:c r="O27" s="20"/>
      <x:c r="P27" s="20"/>
      <x:c r="Q27" s="23"/>
      <x:c r="R27" s="20"/>
      <x:c r="S27" s="23"/>
    </x:row>
    <x:row r="28">
      <x:c r="A28" s="20"/>
      <x:c r="B28" s="20"/>
      <x:c r="C28" s="20"/>
      <x:c r="D28" s="20"/>
      <x:c r="E28" s="20"/>
      <x:c r="F28" s="20"/>
      <x:c r="G28" s="20"/>
      <x:c r="H28" s="20"/>
      <x:c r="I28" s="20"/>
      <x:c r="J28" s="20"/>
      <x:c r="K28" s="20"/>
      <x:c r="L28" s="20"/>
      <x:c r="M28" s="23"/>
      <x:c r="N28" s="23"/>
      <x:c r="O28" s="20"/>
      <x:c r="P28" s="20"/>
      <x:c r="Q28" s="23"/>
      <x:c r="R28" s="20"/>
      <x:c r="S28" s="23"/>
    </x:row>
    <x:row r="29">
      <x:c r="A29" s="20"/>
      <x:c r="B29" s="20"/>
      <x:c r="C29" s="20"/>
      <x:c r="D29" s="20"/>
      <x:c r="E29" s="20"/>
      <x:c r="F29" s="20"/>
      <x:c r="G29" s="20"/>
      <x:c r="H29" s="20"/>
      <x:c r="I29" s="20"/>
      <x:c r="J29" s="20"/>
      <x:c r="K29" s="20"/>
      <x:c r="L29" s="20"/>
      <x:c r="M29" s="23"/>
      <x:c r="N29" s="23"/>
      <x:c r="O29" s="20"/>
      <x:c r="P29" s="20"/>
      <x:c r="Q29" s="23"/>
      <x:c r="R29" s="20"/>
      <x:c r="S29" s="23"/>
    </x:row>
    <x:row r="30">
      <x:c r="A30" s="20"/>
      <x:c r="B30" s="20"/>
      <x:c r="C30" s="20"/>
      <x:c r="D30" s="20"/>
      <x:c r="E30" s="20"/>
      <x:c r="F30" s="20"/>
      <x:c r="G30" s="20"/>
      <x:c r="H30" s="20"/>
      <x:c r="I30" s="20"/>
      <x:c r="J30" s="20"/>
      <x:c r="K30" s="20"/>
      <x:c r="L30" s="20"/>
      <x:c r="M30" s="23"/>
      <x:c r="N30" s="23"/>
      <x:c r="O30" s="20"/>
      <x:c r="P30" s="20"/>
      <x:c r="Q30" s="23"/>
      <x:c r="R30" s="20"/>
      <x:c r="S30" s="23"/>
    </x:row>
    <x:row r="31">
      <x:c r="A31" s="20"/>
      <x:c r="B31" s="20"/>
      <x:c r="C31" s="20"/>
      <x:c r="D31" s="20"/>
      <x:c r="E31" s="20"/>
      <x:c r="F31" s="20"/>
      <x:c r="G31" s="20"/>
      <x:c r="H31" s="20"/>
      <x:c r="I31" s="20"/>
      <x:c r="J31" s="20"/>
      <x:c r="K31" s="20"/>
      <x:c r="L31" s="20"/>
      <x:c r="M31" s="23"/>
      <x:c r="N31" s="23"/>
      <x:c r="O31" s="20"/>
      <x:c r="P31" s="20"/>
      <x:c r="Q31" s="23"/>
      <x:c r="R31" s="20"/>
      <x:c r="S31" s="23"/>
    </x:row>
    <x:row r="32">
      <x:c r="A32" s="20"/>
      <x:c r="B32" s="20"/>
      <x:c r="C32" s="20"/>
      <x:c r="D32" s="20"/>
      <x:c r="E32" s="20"/>
      <x:c r="F32" s="20"/>
      <x:c r="G32" s="20"/>
      <x:c r="H32" s="20"/>
      <x:c r="I32" s="20"/>
      <x:c r="J32" s="20"/>
      <x:c r="K32" s="20"/>
      <x:c r="L32" s="20"/>
      <x:c r="M32" s="23"/>
      <x:c r="N32" s="23"/>
      <x:c r="O32" s="20"/>
      <x:c r="P32" s="20"/>
      <x:c r="Q32" s="23"/>
      <x:c r="R32" s="20"/>
      <x:c r="S32" s="23"/>
    </x:row>
    <x:row r="33">
      <x:c r="A33" s="20"/>
      <x:c r="B33" s="20"/>
      <x:c r="C33" s="20"/>
      <x:c r="D33" s="20"/>
      <x:c r="E33" s="20"/>
      <x:c r="F33" s="20"/>
      <x:c r="G33" s="20"/>
      <x:c r="H33" s="20"/>
      <x:c r="I33" s="20"/>
      <x:c r="J33" s="20"/>
      <x:c r="K33" s="20"/>
      <x:c r="L33" s="20"/>
      <x:c r="M33" s="23"/>
      <x:c r="N33" s="23"/>
      <x:c r="O33" s="20"/>
      <x:c r="P33" s="20"/>
      <x:c r="Q33" s="23"/>
      <x:c r="R33" s="20"/>
      <x:c r="S33" s="23"/>
    </x:row>
    <x:row r="34">
      <x:c r="A34" s="20"/>
      <x:c r="B34" s="20"/>
      <x:c r="C34" s="20"/>
      <x:c r="D34" s="20"/>
      <x:c r="E34" s="20"/>
      <x:c r="F34" s="20"/>
      <x:c r="G34" s="20"/>
      <x:c r="H34" s="20"/>
      <x:c r="I34" s="20"/>
      <x:c r="J34" s="20"/>
      <x:c r="K34" s="20"/>
      <x:c r="L34" s="20"/>
      <x:c r="M34" s="23"/>
      <x:c r="N34" s="23"/>
      <x:c r="O34" s="20"/>
      <x:c r="P34" s="20"/>
      <x:c r="Q34" s="23"/>
      <x:c r="R34" s="20"/>
      <x:c r="S34" s="23"/>
    </x:row>
    <x:row r="35">
      <x:c r="A35" s="20"/>
      <x:c r="B35" s="20"/>
      <x:c r="C35" s="20"/>
      <x:c r="D35" s="20"/>
      <x:c r="E35" s="20"/>
      <x:c r="F35" s="20"/>
      <x:c r="G35" s="20"/>
      <x:c r="H35" s="20"/>
      <x:c r="I35" s="20"/>
      <x:c r="J35" s="20"/>
      <x:c r="K35" s="20"/>
      <x:c r="L35" s="20"/>
      <x:c r="M35" s="23"/>
      <x:c r="N35" s="23"/>
      <x:c r="O35" s="20"/>
      <x:c r="P35" s="20"/>
      <x:c r="Q35" s="23"/>
      <x:c r="R35" s="20"/>
      <x:c r="S35" s="23"/>
    </x:row>
    <x:row r="36">
      <x:c r="A36" s="20"/>
      <x:c r="B36" s="20"/>
      <x:c r="C36" s="20"/>
      <x:c r="D36" s="20"/>
      <x:c r="E36" s="20"/>
      <x:c r="F36" s="20"/>
      <x:c r="G36" s="20"/>
      <x:c r="H36" s="20"/>
      <x:c r="I36" s="20"/>
      <x:c r="J36" s="20"/>
      <x:c r="K36" s="20"/>
      <x:c r="L36" s="20"/>
      <x:c r="M36" s="23"/>
      <x:c r="N36" s="23"/>
      <x:c r="O36" s="20"/>
      <x:c r="P36" s="20"/>
      <x:c r="Q36" s="23"/>
      <x:c r="R36" s="20"/>
      <x:c r="S36" s="23"/>
    </x:row>
    <x:row r="37">
      <x:c r="A37" s="20"/>
      <x:c r="B37" s="20"/>
      <x:c r="C37" s="20"/>
      <x:c r="D37" s="20"/>
      <x:c r="E37" s="20"/>
      <x:c r="F37" s="20"/>
      <x:c r="G37" s="20"/>
      <x:c r="H37" s="20"/>
      <x:c r="I37" s="20"/>
      <x:c r="J37" s="20"/>
      <x:c r="K37" s="20"/>
      <x:c r="L37" s="20"/>
      <x:c r="M37" s="23"/>
      <x:c r="N37" s="23"/>
      <x:c r="O37" s="20"/>
      <x:c r="P37" s="20"/>
      <x:c r="Q37" s="23"/>
      <x:c r="R37" s="20"/>
      <x:c r="S37" s="23"/>
    </x:row>
    <x:row r="38">
      <x:c r="A38" s="20"/>
      <x:c r="B38" s="20"/>
      <x:c r="C38" s="20"/>
      <x:c r="D38" s="20"/>
      <x:c r="E38" s="20"/>
      <x:c r="F38" s="20"/>
      <x:c r="G38" s="20"/>
      <x:c r="H38" s="20"/>
      <x:c r="I38" s="20"/>
      <x:c r="J38" s="20"/>
      <x:c r="K38" s="20"/>
      <x:c r="L38" s="20"/>
      <x:c r="M38" s="23"/>
      <x:c r="N38" s="23"/>
      <x:c r="O38" s="20"/>
      <x:c r="P38" s="20"/>
      <x:c r="Q38" s="23"/>
      <x:c r="R38" s="20"/>
      <x:c r="S38" s="23"/>
    </x:row>
    <x:row r="39">
      <x:c r="A39" s="20"/>
      <x:c r="B39" s="20"/>
      <x:c r="C39" s="20"/>
      <x:c r="D39" s="20"/>
      <x:c r="E39" s="20"/>
      <x:c r="F39" s="20"/>
      <x:c r="G39" s="20"/>
      <x:c r="H39" s="20"/>
      <x:c r="I39" s="20"/>
      <x:c r="J39" s="20"/>
      <x:c r="K39" s="20"/>
      <x:c r="L39" s="20"/>
      <x:c r="M39" s="23"/>
      <x:c r="N39" s="23"/>
      <x:c r="O39" s="20"/>
      <x:c r="P39" s="20"/>
      <x:c r="Q39" s="23"/>
      <x:c r="R39" s="20"/>
      <x:c r="S39" s="23"/>
    </x:row>
    <x:row r="40">
      <x:c r="A40" s="20"/>
      <x:c r="B40" s="20"/>
      <x:c r="C40" s="20"/>
      <x:c r="D40" s="20"/>
      <x:c r="E40" s="20"/>
      <x:c r="F40" s="20"/>
      <x:c r="G40" s="20"/>
      <x:c r="H40" s="20"/>
      <x:c r="I40" s="20"/>
      <x:c r="J40" s="20"/>
      <x:c r="K40" s="20"/>
      <x:c r="L40" s="20"/>
      <x:c r="M40" s="23"/>
      <x:c r="N40" s="23"/>
      <x:c r="O40" s="20"/>
      <x:c r="P40" s="20"/>
      <x:c r="Q40" s="23"/>
      <x:c r="R40" s="20"/>
      <x:c r="S40" s="23"/>
    </x:row>
    <x:row r="41">
      <x:c r="A41" s="20"/>
      <x:c r="B41" s="20"/>
      <x:c r="C41" s="20"/>
      <x:c r="D41" s="20"/>
      <x:c r="E41" s="20"/>
      <x:c r="F41" s="20"/>
      <x:c r="G41" s="20"/>
      <x:c r="H41" s="20"/>
      <x:c r="I41" s="20"/>
      <x:c r="J41" s="20"/>
      <x:c r="K41" s="20"/>
      <x:c r="L41" s="20"/>
      <x:c r="M41" s="23"/>
      <x:c r="N41" s="23"/>
      <x:c r="O41" s="20"/>
      <x:c r="P41" s="20"/>
      <x:c r="Q41" s="23"/>
      <x:c r="R41" s="20"/>
      <x:c r="S41" s="23"/>
    </x:row>
    <x:row r="42">
      <x:c r="A42" s="20"/>
      <x:c r="B42" s="20"/>
      <x:c r="C42" s="20"/>
      <x:c r="D42" s="20"/>
      <x:c r="E42" s="20"/>
      <x:c r="F42" s="20"/>
      <x:c r="G42" s="20"/>
      <x:c r="H42" s="20"/>
      <x:c r="I42" s="20"/>
      <x:c r="J42" s="20"/>
      <x:c r="K42" s="20"/>
      <x:c r="L42" s="20"/>
      <x:c r="M42" s="23"/>
      <x:c r="N42" s="23"/>
      <x:c r="O42" s="20"/>
      <x:c r="P42" s="20"/>
      <x:c r="Q42" s="23"/>
      <x:c r="R42" s="20"/>
      <x:c r="S42" s="23"/>
    </x:row>
    <x:row r="43">
      <x:c r="A43" s="20"/>
      <x:c r="B43" s="20"/>
      <x:c r="C43" s="20"/>
      <x:c r="D43" s="20"/>
      <x:c r="E43" s="20"/>
      <x:c r="F43" s="20"/>
      <x:c r="G43" s="20"/>
      <x:c r="H43" s="20"/>
      <x:c r="I43" s="20"/>
      <x:c r="J43" s="20"/>
      <x:c r="K43" s="20"/>
      <x:c r="L43" s="20"/>
      <x:c r="M43" s="23"/>
      <x:c r="N43" s="23"/>
      <x:c r="O43" s="20"/>
      <x:c r="P43" s="20"/>
      <x:c r="Q43" s="23"/>
      <x:c r="R43" s="20"/>
      <x:c r="S43" s="23"/>
    </x:row>
    <x:row r="44">
      <x:c r="A44" s="20"/>
      <x:c r="B44" s="20"/>
      <x:c r="C44" s="20"/>
      <x:c r="D44" s="20"/>
      <x:c r="E44" s="20"/>
      <x:c r="F44" s="20"/>
      <x:c r="G44" s="20"/>
      <x:c r="H44" s="20"/>
      <x:c r="I44" s="20"/>
      <x:c r="J44" s="20"/>
      <x:c r="K44" s="20"/>
      <x:c r="L44" s="20"/>
      <x:c r="M44" s="23"/>
      <x:c r="N44" s="23"/>
      <x:c r="O44" s="20"/>
      <x:c r="P44" s="20"/>
      <x:c r="Q44" s="23"/>
      <x:c r="R44" s="20"/>
      <x:c r="S44" s="23"/>
    </x:row>
    <x:row r="45">
      <x:c r="A45" s="20"/>
      <x:c r="B45" s="20"/>
      <x:c r="C45" s="20"/>
      <x:c r="D45" s="20"/>
      <x:c r="E45" s="20"/>
      <x:c r="F45" s="20"/>
      <x:c r="G45" s="20"/>
      <x:c r="H45" s="20"/>
      <x:c r="I45" s="20"/>
      <x:c r="J45" s="20"/>
      <x:c r="K45" s="20"/>
      <x:c r="L45" s="20"/>
      <x:c r="M45" s="23"/>
      <x:c r="N45" s="23"/>
      <x:c r="O45" s="20"/>
      <x:c r="P45" s="20"/>
      <x:c r="Q45" s="23"/>
      <x:c r="R45" s="20"/>
      <x:c r="S45" s="23"/>
    </x:row>
    <x:row r="46">
      <x:c r="A46" s="20"/>
      <x:c r="B46" s="20"/>
      <x:c r="C46" s="20"/>
      <x:c r="D46" s="20"/>
      <x:c r="E46" s="20"/>
      <x:c r="F46" s="20"/>
      <x:c r="G46" s="20"/>
      <x:c r="H46" s="20"/>
      <x:c r="I46" s="20"/>
      <x:c r="J46" s="20"/>
      <x:c r="K46" s="20"/>
      <x:c r="L46" s="20"/>
      <x:c r="M46" s="23"/>
      <x:c r="N46" s="23"/>
      <x:c r="O46" s="20"/>
      <x:c r="P46" s="20"/>
      <x:c r="Q46" s="23"/>
      <x:c r="R46" s="20"/>
      <x:c r="S46" s="23"/>
    </x:row>
    <x:row r="47">
      <x:c r="A47" s="20"/>
      <x:c r="B47" s="20"/>
      <x:c r="C47" s="20"/>
      <x:c r="D47" s="20"/>
      <x:c r="E47" s="20"/>
      <x:c r="F47" s="20"/>
      <x:c r="G47" s="20"/>
      <x:c r="H47" s="20"/>
      <x:c r="I47" s="20"/>
      <x:c r="J47" s="20"/>
      <x:c r="K47" s="20"/>
      <x:c r="L47" s="20"/>
      <x:c r="M47" s="23"/>
      <x:c r="N47" s="23"/>
      <x:c r="O47" s="20"/>
      <x:c r="P47" s="20"/>
      <x:c r="Q47" s="23"/>
      <x:c r="R47" s="20"/>
      <x:c r="S47" s="23"/>
    </x:row>
    <x:row r="48">
      <x:c r="A48" s="20"/>
      <x:c r="B48" s="20"/>
      <x:c r="C48" s="20"/>
      <x:c r="D48" s="20"/>
      <x:c r="E48" s="20"/>
      <x:c r="F48" s="20"/>
      <x:c r="G48" s="20"/>
      <x:c r="H48" s="20"/>
      <x:c r="I48" s="20"/>
      <x:c r="J48" s="20"/>
      <x:c r="K48" s="20"/>
      <x:c r="L48" s="20"/>
      <x:c r="M48" s="23"/>
      <x:c r="N48" s="23"/>
      <x:c r="O48" s="20"/>
      <x:c r="P48" s="20"/>
      <x:c r="Q48" s="23"/>
      <x:c r="R48" s="20"/>
      <x:c r="S48" s="23"/>
    </x:row>
    <x:row r="49">
      <x:c r="A49" s="20"/>
      <x:c r="B49" s="20"/>
      <x:c r="C49" s="20"/>
      <x:c r="D49" s="20"/>
      <x:c r="E49" s="20"/>
      <x:c r="F49" s="20"/>
      <x:c r="G49" s="20"/>
      <x:c r="H49" s="20"/>
      <x:c r="I49" s="20"/>
      <x:c r="J49" s="20"/>
      <x:c r="K49" s="20"/>
      <x:c r="L49" s="20"/>
      <x:c r="M49" s="23"/>
      <x:c r="N49" s="23"/>
      <x:c r="O49" s="20"/>
      <x:c r="P49" s="20"/>
      <x:c r="Q49" s="23"/>
      <x:c r="R49" s="20"/>
      <x:c r="S49" s="23"/>
    </x:row>
    <x:row r="50">
      <x:c r="A50" s="20"/>
      <x:c r="B50" s="20"/>
      <x:c r="C50" s="20"/>
      <x:c r="D50" s="20"/>
      <x:c r="E50" s="20"/>
      <x:c r="F50" s="20"/>
      <x:c r="G50" s="20"/>
      <x:c r="H50" s="20"/>
      <x:c r="I50" s="20"/>
      <x:c r="J50" s="20"/>
      <x:c r="K50" s="20"/>
      <x:c r="L50" s="20"/>
      <x:c r="M50" s="23"/>
      <x:c r="N50" s="23"/>
      <x:c r="O50" s="20"/>
      <x:c r="P50" s="20"/>
      <x:c r="Q50" s="23"/>
      <x:c r="R50" s="20"/>
      <x:c r="S50" s="23"/>
    </x:row>
    <x:row r="51">
      <x:c r="A51" s="20"/>
      <x:c r="B51" s="20"/>
      <x:c r="C51" s="20"/>
      <x:c r="D51" s="20"/>
      <x:c r="E51" s="20"/>
      <x:c r="F51" s="20"/>
      <x:c r="G51" s="20"/>
      <x:c r="H51" s="20"/>
      <x:c r="I51" s="20"/>
      <x:c r="J51" s="20"/>
      <x:c r="K51" s="20"/>
      <x:c r="L51" s="20"/>
      <x:c r="M51" s="23"/>
      <x:c r="N51" s="23"/>
      <x:c r="O51" s="20"/>
      <x:c r="P51" s="20"/>
      <x:c r="Q51" s="23"/>
      <x:c r="R51" s="20"/>
      <x:c r="S51" s="23"/>
    </x:row>
    <x:row r="52">
      <x:c r="A52" s="20"/>
      <x:c r="B52" s="20"/>
      <x:c r="C52" s="20"/>
      <x:c r="D52" s="20"/>
      <x:c r="E52" s="20"/>
      <x:c r="F52" s="20"/>
      <x:c r="G52" s="20"/>
      <x:c r="H52" s="20"/>
      <x:c r="I52" s="20"/>
      <x:c r="J52" s="20"/>
      <x:c r="K52" s="20"/>
      <x:c r="L52" s="20"/>
      <x:c r="M52" s="23"/>
      <x:c r="N52" s="23"/>
      <x:c r="O52" s="20"/>
      <x:c r="P52" s="20"/>
      <x:c r="Q52" s="23"/>
      <x:c r="R52" s="20"/>
      <x:c r="S52" s="23"/>
    </x:row>
    <x:row r="53">
      <x:c r="A53" s="20"/>
      <x:c r="B53" s="20"/>
      <x:c r="C53" s="20"/>
      <x:c r="D53" s="20"/>
      <x:c r="E53" s="20"/>
      <x:c r="F53" s="20"/>
      <x:c r="G53" s="20"/>
      <x:c r="H53" s="20"/>
      <x:c r="I53" s="20"/>
      <x:c r="J53" s="20"/>
      <x:c r="K53" s="20"/>
      <x:c r="L53" s="20"/>
      <x:c r="M53" s="23"/>
      <x:c r="N53" s="23"/>
      <x:c r="O53" s="20"/>
      <x:c r="P53" s="20"/>
      <x:c r="Q53" s="23"/>
      <x:c r="R53" s="20"/>
      <x:c r="S53" s="23"/>
    </x:row>
    <x:row r="54">
      <x:c r="A54" s="20"/>
      <x:c r="B54" s="20"/>
      <x:c r="C54" s="20"/>
      <x:c r="D54" s="20"/>
      <x:c r="E54" s="20"/>
      <x:c r="F54" s="20"/>
      <x:c r="G54" s="20"/>
      <x:c r="H54" s="20"/>
      <x:c r="I54" s="20"/>
      <x:c r="J54" s="20"/>
      <x:c r="K54" s="20"/>
      <x:c r="L54" s="20"/>
      <x:c r="M54" s="23"/>
      <x:c r="N54" s="23"/>
      <x:c r="O54" s="20"/>
      <x:c r="P54" s="20"/>
      <x:c r="Q54" s="23"/>
      <x:c r="R54" s="20"/>
      <x:c r="S54" s="23"/>
    </x:row>
    <x:row r="55">
      <x:c r="A55" s="20"/>
      <x:c r="B55" s="20"/>
      <x:c r="C55" s="20"/>
      <x:c r="D55" s="20"/>
      <x:c r="E55" s="20"/>
      <x:c r="F55" s="20"/>
      <x:c r="G55" s="20"/>
      <x:c r="H55" s="20"/>
      <x:c r="I55" s="20"/>
      <x:c r="J55" s="20"/>
      <x:c r="K55" s="20"/>
      <x:c r="L55" s="20"/>
      <x:c r="M55" s="23"/>
      <x:c r="N55" s="23"/>
      <x:c r="O55" s="20"/>
      <x:c r="P55" s="20"/>
      <x:c r="Q55" s="23"/>
      <x:c r="R55" s="20"/>
      <x:c r="S55" s="23"/>
    </x:row>
    <x:row r="56">
      <x:c r="A56" s="20"/>
      <x:c r="B56" s="20"/>
      <x:c r="C56" s="20"/>
      <x:c r="D56" s="20"/>
      <x:c r="E56" s="20"/>
      <x:c r="F56" s="20"/>
      <x:c r="G56" s="20"/>
      <x:c r="H56" s="20"/>
      <x:c r="I56" s="20"/>
      <x:c r="J56" s="20"/>
      <x:c r="K56" s="20"/>
      <x:c r="L56" s="20"/>
      <x:c r="M56" s="23"/>
      <x:c r="N56" s="23"/>
      <x:c r="O56" s="20"/>
      <x:c r="P56" s="20"/>
      <x:c r="Q56" s="23"/>
      <x:c r="R56" s="20"/>
      <x:c r="S56" s="23"/>
    </x:row>
    <x:row r="57">
      <x:c r="A57" s="20"/>
      <x:c r="B57" s="20"/>
      <x:c r="C57" s="20"/>
      <x:c r="D57" s="20"/>
      <x:c r="E57" s="20"/>
      <x:c r="F57" s="20"/>
      <x:c r="G57" s="20"/>
      <x:c r="H57" s="20"/>
      <x:c r="I57" s="20"/>
      <x:c r="J57" s="20"/>
      <x:c r="K57" s="20"/>
      <x:c r="L57" s="20"/>
      <x:c r="M57" s="23"/>
      <x:c r="N57" s="23"/>
      <x:c r="O57" s="20"/>
      <x:c r="P57" s="20"/>
      <x:c r="Q57" s="23"/>
      <x:c r="R57" s="20"/>
      <x:c r="S57" s="23"/>
    </x:row>
    <x:row r="58">
      <x:c r="A58" s="20"/>
      <x:c r="B58" s="20"/>
      <x:c r="C58" s="20"/>
      <x:c r="D58" s="20"/>
      <x:c r="E58" s="20"/>
      <x:c r="F58" s="20"/>
      <x:c r="G58" s="20"/>
      <x:c r="H58" s="20"/>
      <x:c r="I58" s="20"/>
      <x:c r="J58" s="20"/>
      <x:c r="K58" s="20"/>
      <x:c r="L58" s="20"/>
      <x:c r="M58" s="23"/>
      <x:c r="N58" s="23"/>
      <x:c r="O58" s="20"/>
      <x:c r="P58" s="20"/>
      <x:c r="Q58" s="23"/>
      <x:c r="R58" s="20"/>
      <x:c r="S58" s="23"/>
    </x:row>
    <x:row r="59">
      <x:c r="A59" s="20"/>
      <x:c r="B59" s="20"/>
      <x:c r="C59" s="20"/>
      <x:c r="D59" s="20"/>
      <x:c r="E59" s="20"/>
      <x:c r="F59" s="20"/>
      <x:c r="G59" s="20"/>
      <x:c r="H59" s="20"/>
      <x:c r="I59" s="20"/>
      <x:c r="J59" s="20"/>
      <x:c r="K59" s="20"/>
      <x:c r="L59" s="20"/>
      <x:c r="M59" s="23"/>
      <x:c r="N59" s="23"/>
      <x:c r="O59" s="20"/>
      <x:c r="P59" s="20"/>
      <x:c r="Q59" s="23"/>
      <x:c r="R59" s="20"/>
      <x:c r="S59" s="23"/>
    </x:row>
    <x:row r="60">
      <x:c r="A60" s="20"/>
      <x:c r="B60" s="20"/>
      <x:c r="C60" s="20"/>
      <x:c r="D60" s="20"/>
      <x:c r="E60" s="20"/>
      <x:c r="F60" s="20"/>
      <x:c r="G60" s="20"/>
      <x:c r="H60" s="20"/>
      <x:c r="I60" s="20"/>
      <x:c r="J60" s="20"/>
      <x:c r="K60" s="20"/>
      <x:c r="L60" s="20"/>
      <x:c r="M60" s="23"/>
      <x:c r="N60" s="23"/>
      <x:c r="O60" s="20"/>
      <x:c r="P60" s="20"/>
      <x:c r="Q60" s="23"/>
      <x:c r="R60" s="20"/>
      <x:c r="S60" s="23"/>
    </x:row>
    <x:row r="61">
      <x:c r="A61" s="20"/>
      <x:c r="B61" s="20"/>
      <x:c r="C61" s="20"/>
      <x:c r="D61" s="20"/>
      <x:c r="E61" s="20"/>
      <x:c r="F61" s="20"/>
      <x:c r="G61" s="20"/>
      <x:c r="H61" s="20"/>
      <x:c r="I61" s="20"/>
      <x:c r="J61" s="20"/>
      <x:c r="K61" s="20"/>
      <x:c r="L61" s="20"/>
      <x:c r="M61" s="23"/>
      <x:c r="N61" s="23"/>
      <x:c r="O61" s="20"/>
      <x:c r="P61" s="20"/>
      <x:c r="Q61" s="23"/>
      <x:c r="R61" s="20"/>
      <x:c r="S61" s="23"/>
    </x:row>
    <x:row r="62">
      <x:c r="A62" s="20"/>
      <x:c r="B62" s="20"/>
      <x:c r="C62" s="20"/>
      <x:c r="D62" s="20"/>
      <x:c r="E62" s="20"/>
      <x:c r="F62" s="20"/>
      <x:c r="G62" s="20"/>
      <x:c r="H62" s="20"/>
      <x:c r="I62" s="20"/>
      <x:c r="J62" s="20"/>
      <x:c r="K62" s="20"/>
      <x:c r="L62" s="20"/>
      <x:c r="M62" s="23"/>
      <x:c r="N62" s="23"/>
      <x:c r="O62" s="20"/>
      <x:c r="P62" s="20"/>
      <x:c r="Q62" s="23"/>
      <x:c r="R62" s="20"/>
      <x:c r="S62" s="23"/>
    </x:row>
    <x:row r="63">
      <x:c r="A63" s="20"/>
      <x:c r="B63" s="20"/>
      <x:c r="C63" s="20"/>
      <x:c r="D63" s="20"/>
      <x:c r="E63" s="20"/>
      <x:c r="F63" s="20"/>
      <x:c r="G63" s="20"/>
      <x:c r="H63" s="20"/>
      <x:c r="I63" s="20"/>
      <x:c r="J63" s="20"/>
      <x:c r="K63" s="20"/>
      <x:c r="L63" s="20"/>
      <x:c r="M63" s="23"/>
      <x:c r="N63" s="23"/>
      <x:c r="O63" s="20"/>
      <x:c r="P63" s="20"/>
      <x:c r="Q63" s="23"/>
      <x:c r="R63" s="20"/>
      <x:c r="S63" s="23"/>
    </x:row>
    <x:row r="64">
      <x:c r="A64" s="20"/>
      <x:c r="B64" s="20"/>
      <x:c r="C64" s="20"/>
      <x:c r="D64" s="20"/>
      <x:c r="E64" s="20"/>
      <x:c r="F64" s="20"/>
      <x:c r="G64" s="20"/>
      <x:c r="H64" s="20"/>
      <x:c r="I64" s="20"/>
      <x:c r="J64" s="20"/>
      <x:c r="K64" s="20"/>
      <x:c r="L64" s="20"/>
      <x:c r="M64" s="23"/>
      <x:c r="N64" s="23"/>
      <x:c r="O64" s="20"/>
      <x:c r="P64" s="20"/>
      <x:c r="Q64" s="23"/>
      <x:c r="R64" s="20"/>
      <x:c r="S64" s="23"/>
    </x:row>
    <x:row r="65">
      <x:c r="A65" s="20"/>
      <x:c r="B65" s="20"/>
      <x:c r="C65" s="20"/>
      <x:c r="D65" s="20"/>
      <x:c r="E65" s="20"/>
      <x:c r="F65" s="20"/>
      <x:c r="G65" s="20"/>
      <x:c r="H65" s="20"/>
      <x:c r="I65" s="20"/>
      <x:c r="J65" s="20"/>
      <x:c r="K65" s="20"/>
      <x:c r="L65" s="20"/>
      <x:c r="M65" s="23"/>
      <x:c r="N65" s="23"/>
      <x:c r="O65" s="20"/>
      <x:c r="P65" s="20"/>
      <x:c r="Q65" s="23"/>
      <x:c r="R65" s="20"/>
      <x:c r="S65" s="23"/>
    </x:row>
    <x:row r="66">
      <x:c r="A66" s="20"/>
      <x:c r="B66" s="20"/>
      <x:c r="C66" s="20"/>
      <x:c r="D66" s="20"/>
      <x:c r="E66" s="20"/>
      <x:c r="F66" s="20"/>
      <x:c r="G66" s="20"/>
      <x:c r="H66" s="20"/>
      <x:c r="I66" s="20"/>
      <x:c r="J66" s="20"/>
      <x:c r="K66" s="20"/>
      <x:c r="L66" s="20"/>
      <x:c r="M66" s="23"/>
      <x:c r="N66" s="23"/>
      <x:c r="O66" s="20"/>
      <x:c r="P66" s="20"/>
      <x:c r="Q66" s="23"/>
      <x:c r="R66" s="20"/>
      <x:c r="S66" s="23"/>
    </x:row>
    <x:row r="67">
      <x:c r="A67" s="20"/>
      <x:c r="B67" s="20"/>
      <x:c r="C67" s="20"/>
      <x:c r="D67" s="20"/>
      <x:c r="E67" s="20"/>
      <x:c r="F67" s="20"/>
      <x:c r="G67" s="20"/>
      <x:c r="H67" s="20"/>
      <x:c r="I67" s="20"/>
      <x:c r="J67" s="20"/>
      <x:c r="K67" s="20"/>
      <x:c r="L67" s="20"/>
      <x:c r="M67" s="23"/>
      <x:c r="N67" s="23"/>
      <x:c r="O67" s="20"/>
      <x:c r="P67" s="20"/>
      <x:c r="Q67" s="23"/>
      <x:c r="R67" s="20"/>
      <x:c r="S67" s="23"/>
    </x:row>
    <x:row r="68">
      <x:c r="A68" s="20"/>
      <x:c r="B68" s="20"/>
      <x:c r="C68" s="20"/>
      <x:c r="D68" s="20"/>
      <x:c r="E68" s="20"/>
      <x:c r="F68" s="20"/>
      <x:c r="G68" s="20"/>
      <x:c r="H68" s="20"/>
      <x:c r="I68" s="20"/>
      <x:c r="J68" s="20"/>
      <x:c r="K68" s="20"/>
      <x:c r="L68" s="20"/>
      <x:c r="M68" s="23"/>
      <x:c r="N68" s="23"/>
      <x:c r="O68" s="20"/>
      <x:c r="P68" s="20"/>
      <x:c r="Q68" s="23"/>
      <x:c r="R68" s="20"/>
      <x:c r="S68" s="23"/>
    </x:row>
    <x:row r="69">
      <x:c r="A69" s="20"/>
      <x:c r="B69" s="20"/>
      <x:c r="C69" s="20"/>
      <x:c r="D69" s="20"/>
      <x:c r="E69" s="20"/>
      <x:c r="F69" s="20"/>
      <x:c r="G69" s="20"/>
      <x:c r="H69" s="20"/>
      <x:c r="I69" s="20"/>
      <x:c r="J69" s="20"/>
      <x:c r="K69" s="20"/>
      <x:c r="L69" s="20"/>
      <x:c r="M69" s="23"/>
      <x:c r="N69" s="23"/>
      <x:c r="O69" s="20"/>
      <x:c r="P69" s="20"/>
      <x:c r="Q69" s="23"/>
      <x:c r="R69" s="20"/>
      <x:c r="S69" s="23"/>
    </x:row>
    <x:row r="70">
      <x:c r="A70" s="20"/>
      <x:c r="B70" s="20"/>
      <x:c r="C70" s="20"/>
      <x:c r="D70" s="20"/>
      <x:c r="E70" s="20"/>
      <x:c r="F70" s="20"/>
      <x:c r="G70" s="20"/>
      <x:c r="H70" s="20"/>
      <x:c r="I70" s="20"/>
      <x:c r="J70" s="20"/>
      <x:c r="K70" s="20"/>
      <x:c r="L70" s="20"/>
      <x:c r="M70" s="23"/>
      <x:c r="N70" s="23"/>
      <x:c r="O70" s="20"/>
      <x:c r="P70" s="20"/>
      <x:c r="Q70" s="23"/>
      <x:c r="R70" s="20"/>
      <x:c r="S70" s="23"/>
    </x:row>
    <x:row r="71">
      <x:c r="A71" s="20"/>
      <x:c r="B71" s="20"/>
      <x:c r="C71" s="20"/>
      <x:c r="D71" s="20"/>
      <x:c r="E71" s="20"/>
      <x:c r="F71" s="20"/>
      <x:c r="G71" s="20"/>
      <x:c r="H71" s="20"/>
      <x:c r="I71" s="20"/>
      <x:c r="J71" s="20"/>
      <x:c r="K71" s="20"/>
      <x:c r="L71" s="20"/>
      <x:c r="M71" s="23"/>
      <x:c r="N71" s="23"/>
      <x:c r="O71" s="20"/>
      <x:c r="P71" s="20"/>
      <x:c r="Q71" s="23"/>
      <x:c r="R71" s="20"/>
      <x:c r="S71" s="23"/>
    </x:row>
    <x:row r="72">
      <x:c r="A72" s="20"/>
      <x:c r="B72" s="20"/>
      <x:c r="C72" s="20"/>
      <x:c r="D72" s="20"/>
      <x:c r="E72" s="20"/>
      <x:c r="F72" s="20"/>
      <x:c r="G72" s="20"/>
      <x:c r="H72" s="20"/>
      <x:c r="I72" s="20"/>
      <x:c r="J72" s="20"/>
      <x:c r="K72" s="20"/>
      <x:c r="L72" s="20"/>
      <x:c r="M72" s="23"/>
      <x:c r="N72" s="23"/>
      <x:c r="O72" s="20"/>
      <x:c r="P72" s="20"/>
      <x:c r="Q72" s="23"/>
      <x:c r="R72" s="20"/>
      <x:c r="S72" s="23"/>
    </x:row>
    <x:row r="73">
      <x:c r="A73" s="20"/>
      <x:c r="B73" s="20"/>
      <x:c r="C73" s="20"/>
      <x:c r="D73" s="20"/>
      <x:c r="E73" s="20"/>
      <x:c r="F73" s="20"/>
      <x:c r="G73" s="20"/>
      <x:c r="H73" s="20"/>
      <x:c r="I73" s="20"/>
      <x:c r="J73" s="20"/>
      <x:c r="K73" s="20"/>
      <x:c r="L73" s="20"/>
      <x:c r="M73" s="23"/>
      <x:c r="N73" s="23"/>
      <x:c r="O73" s="20"/>
      <x:c r="P73" s="20"/>
      <x:c r="Q73" s="23"/>
      <x:c r="R73" s="20"/>
      <x:c r="S73" s="23"/>
    </x:row>
    <x:row r="74">
      <x:c r="A74" s="20"/>
      <x:c r="B74" s="20"/>
      <x:c r="C74" s="20"/>
      <x:c r="D74" s="20"/>
      <x:c r="E74" s="20"/>
      <x:c r="F74" s="20"/>
      <x:c r="G74" s="20"/>
      <x:c r="H74" s="20"/>
      <x:c r="I74" s="20"/>
      <x:c r="J74" s="20"/>
      <x:c r="K74" s="20"/>
      <x:c r="L74" s="20"/>
      <x:c r="M74" s="23"/>
      <x:c r="N74" s="23"/>
      <x:c r="O74" s="20"/>
      <x:c r="P74" s="20"/>
      <x:c r="Q74" s="23"/>
      <x:c r="R74" s="20"/>
      <x:c r="S74" s="23"/>
    </x:row>
    <x:row r="75">
      <x:c r="A75" s="20"/>
      <x:c r="B75" s="20"/>
      <x:c r="C75" s="20"/>
      <x:c r="D75" s="20"/>
      <x:c r="E75" s="20"/>
      <x:c r="F75" s="20"/>
      <x:c r="G75" s="20"/>
      <x:c r="H75" s="20"/>
      <x:c r="I75" s="20"/>
      <x:c r="J75" s="20"/>
      <x:c r="K75" s="20"/>
      <x:c r="L75" s="20"/>
      <x:c r="M75" s="23"/>
      <x:c r="N75" s="23"/>
      <x:c r="O75" s="20"/>
      <x:c r="P75" s="20"/>
      <x:c r="Q75" s="23"/>
      <x:c r="R75" s="20"/>
      <x:c r="S75" s="23"/>
    </x:row>
    <x:row r="76">
      <x:c r="A76" s="20"/>
      <x:c r="B76" s="20"/>
      <x:c r="C76" s="20"/>
      <x:c r="D76" s="20"/>
      <x:c r="E76" s="20"/>
      <x:c r="F76" s="20"/>
      <x:c r="G76" s="20"/>
      <x:c r="H76" s="20"/>
      <x:c r="I76" s="20"/>
      <x:c r="J76" s="20"/>
      <x:c r="K76" s="20"/>
      <x:c r="L76" s="20"/>
      <x:c r="M76" s="23"/>
      <x:c r="N76" s="23"/>
      <x:c r="O76" s="20"/>
      <x:c r="P76" s="20"/>
      <x:c r="Q76" s="23"/>
      <x:c r="R76" s="20"/>
      <x:c r="S76" s="23"/>
    </x:row>
    <x:row r="77">
      <x:c r="A77" s="20"/>
      <x:c r="B77" s="20"/>
      <x:c r="C77" s="20"/>
      <x:c r="D77" s="20"/>
      <x:c r="E77" s="20"/>
      <x:c r="F77" s="20"/>
      <x:c r="G77" s="20"/>
      <x:c r="H77" s="20"/>
      <x:c r="I77" s="20"/>
      <x:c r="J77" s="20"/>
      <x:c r="K77" s="20"/>
      <x:c r="L77" s="20"/>
      <x:c r="M77" s="23"/>
      <x:c r="N77" s="23"/>
      <x:c r="O77" s="20"/>
      <x:c r="P77" s="20"/>
      <x:c r="Q77" s="23"/>
      <x:c r="R77" s="20"/>
      <x:c r="S77" s="23"/>
    </x:row>
    <x:row r="78">
      <x:c r="A78" s="20"/>
      <x:c r="B78" s="20"/>
      <x:c r="C78" s="20"/>
      <x:c r="D78" s="20"/>
      <x:c r="E78" s="20"/>
      <x:c r="F78" s="20"/>
      <x:c r="G78" s="20"/>
      <x:c r="H78" s="20"/>
      <x:c r="I78" s="20"/>
      <x:c r="J78" s="20"/>
      <x:c r="K78" s="20"/>
      <x:c r="L78" s="20"/>
      <x:c r="M78" s="23"/>
      <x:c r="N78" s="23"/>
      <x:c r="O78" s="20"/>
      <x:c r="P78" s="20"/>
      <x:c r="Q78" s="23"/>
      <x:c r="R78" s="20"/>
      <x:c r="S78" s="23"/>
    </x:row>
    <x:row r="79">
      <x:c r="A79" s="20"/>
      <x:c r="B79" s="20"/>
      <x:c r="C79" s="20"/>
      <x:c r="D79" s="20"/>
      <x:c r="E79" s="20"/>
      <x:c r="F79" s="20"/>
      <x:c r="G79" s="20"/>
      <x:c r="H79" s="20"/>
      <x:c r="I79" s="20"/>
      <x:c r="J79" s="20"/>
      <x:c r="K79" s="20"/>
      <x:c r="L79" s="20"/>
      <x:c r="M79" s="23"/>
      <x:c r="N79" s="23"/>
      <x:c r="O79" s="20"/>
      <x:c r="P79" s="20"/>
      <x:c r="Q79" s="23"/>
      <x:c r="R79" s="20"/>
      <x:c r="S79" s="23"/>
    </x:row>
    <x:row r="80">
      <x:c r="A80" s="20"/>
      <x:c r="B80" s="20"/>
      <x:c r="C80" s="20"/>
      <x:c r="D80" s="20"/>
      <x:c r="E80" s="20"/>
      <x:c r="F80" s="20"/>
      <x:c r="G80" s="20"/>
      <x:c r="H80" s="20"/>
      <x:c r="I80" s="20"/>
      <x:c r="J80" s="20"/>
      <x:c r="K80" s="20"/>
      <x:c r="L80" s="20"/>
      <x:c r="M80" s="23"/>
      <x:c r="N80" s="23"/>
      <x:c r="O80" s="20"/>
      <x:c r="P80" s="20"/>
      <x:c r="Q80" s="23"/>
      <x:c r="R80" s="20"/>
      <x:c r="S80" s="23"/>
    </x:row>
    <x:row r="81">
      <x:c r="A81" s="20"/>
      <x:c r="B81" s="20"/>
      <x:c r="C81" s="20"/>
      <x:c r="D81" s="20"/>
      <x:c r="E81" s="20"/>
      <x:c r="F81" s="20"/>
      <x:c r="G81" s="20"/>
      <x:c r="H81" s="20"/>
      <x:c r="I81" s="20"/>
      <x:c r="J81" s="20"/>
      <x:c r="K81" s="20"/>
      <x:c r="L81" s="20"/>
      <x:c r="M81" s="23"/>
      <x:c r="N81" s="23"/>
      <x:c r="O81" s="20"/>
      <x:c r="P81" s="20"/>
      <x:c r="Q81" s="23"/>
      <x:c r="R81" s="20"/>
      <x:c r="S81" s="23"/>
    </x:row>
    <x:row r="82">
      <x:c r="A82" s="20"/>
      <x:c r="B82" s="20"/>
      <x:c r="C82" s="20"/>
      <x:c r="D82" s="20"/>
      <x:c r="E82" s="20"/>
      <x:c r="F82" s="20"/>
      <x:c r="G82" s="20"/>
      <x:c r="H82" s="20"/>
      <x:c r="I82" s="20"/>
      <x:c r="J82" s="20"/>
      <x:c r="K82" s="20"/>
      <x:c r="L82" s="20"/>
      <x:c r="M82" s="23"/>
      <x:c r="N82" s="23"/>
      <x:c r="O82" s="20"/>
      <x:c r="P82" s="20"/>
      <x:c r="Q82" s="23"/>
      <x:c r="R82" s="20"/>
      <x:c r="S82" s="23"/>
    </x:row>
    <x:row r="83">
      <x:c r="A83" s="20"/>
      <x:c r="B83" s="20"/>
      <x:c r="C83" s="20"/>
      <x:c r="D83" s="20"/>
      <x:c r="E83" s="20"/>
      <x:c r="F83" s="20"/>
      <x:c r="G83" s="20"/>
      <x:c r="H83" s="20"/>
      <x:c r="I83" s="20"/>
      <x:c r="J83" s="20"/>
      <x:c r="K83" s="20"/>
      <x:c r="L83" s="20"/>
      <x:c r="M83" s="23"/>
      <x:c r="N83" s="23"/>
      <x:c r="O83" s="20"/>
      <x:c r="P83" s="20"/>
      <x:c r="Q83" s="23"/>
      <x:c r="R83" s="20"/>
      <x:c r="S83" s="23"/>
    </x:row>
    <x:row r="84">
      <x:c r="A84" s="20"/>
      <x:c r="B84" s="20"/>
      <x:c r="C84" s="20"/>
      <x:c r="D84" s="20"/>
      <x:c r="E84" s="20"/>
      <x:c r="F84" s="20"/>
      <x:c r="G84" s="20"/>
      <x:c r="H84" s="20"/>
      <x:c r="I84" s="20"/>
      <x:c r="J84" s="20"/>
      <x:c r="K84" s="20"/>
      <x:c r="L84" s="20"/>
      <x:c r="M84" s="23"/>
      <x:c r="N84" s="23"/>
      <x:c r="O84" s="20"/>
      <x:c r="P84" s="20"/>
      <x:c r="Q84" s="23"/>
      <x:c r="R84" s="20"/>
      <x:c r="S84" s="23"/>
    </x:row>
    <x:row r="85">
      <x:c r="A85" s="20"/>
      <x:c r="B85" s="20"/>
      <x:c r="C85" s="20"/>
      <x:c r="D85" s="20"/>
      <x:c r="E85" s="20"/>
      <x:c r="F85" s="20"/>
      <x:c r="G85" s="20"/>
      <x:c r="H85" s="20"/>
      <x:c r="I85" s="20"/>
      <x:c r="J85" s="20"/>
      <x:c r="K85" s="20"/>
      <x:c r="L85" s="20"/>
      <x:c r="M85" s="23"/>
      <x:c r="N85" s="23"/>
      <x:c r="O85" s="20"/>
      <x:c r="P85" s="20"/>
      <x:c r="Q85" s="23"/>
      <x:c r="R85" s="20"/>
      <x:c r="S85" s="23"/>
    </x:row>
    <x:row r="86">
      <x:c r="A86" s="20"/>
      <x:c r="B86" s="20"/>
      <x:c r="C86" s="20"/>
      <x:c r="D86" s="20"/>
      <x:c r="E86" s="20"/>
      <x:c r="F86" s="20"/>
      <x:c r="G86" s="20"/>
      <x:c r="H86" s="20"/>
      <x:c r="I86" s="20"/>
      <x:c r="J86" s="20"/>
      <x:c r="K86" s="20"/>
      <x:c r="L86" s="20"/>
      <x:c r="M86" s="23"/>
      <x:c r="N86" s="23"/>
      <x:c r="O86" s="20"/>
      <x:c r="P86" s="20"/>
      <x:c r="Q86" s="23"/>
      <x:c r="R86" s="20"/>
      <x:c r="S86" s="23"/>
    </x:row>
    <x:row r="87">
      <x:c r="A87" s="20"/>
      <x:c r="B87" s="20"/>
      <x:c r="C87" s="20"/>
      <x:c r="D87" s="20"/>
      <x:c r="E87" s="20"/>
      <x:c r="F87" s="20"/>
      <x:c r="G87" s="20"/>
      <x:c r="H87" s="20"/>
      <x:c r="I87" s="20"/>
      <x:c r="J87" s="20"/>
      <x:c r="K87" s="20"/>
      <x:c r="L87" s="20"/>
      <x:c r="M87" s="23"/>
      <x:c r="N87" s="23"/>
      <x:c r="O87" s="20"/>
      <x:c r="P87" s="20"/>
      <x:c r="Q87" s="23"/>
      <x:c r="R87" s="20"/>
      <x:c r="S87" s="23"/>
    </x:row>
    <x:row r="88">
      <x:c r="A88" s="20"/>
      <x:c r="B88" s="20"/>
      <x:c r="C88" s="20"/>
      <x:c r="D88" s="20"/>
      <x:c r="E88" s="20"/>
      <x:c r="F88" s="20"/>
      <x:c r="G88" s="20"/>
      <x:c r="H88" s="20"/>
      <x:c r="I88" s="20"/>
      <x:c r="J88" s="20"/>
      <x:c r="K88" s="20"/>
      <x:c r="L88" s="20"/>
      <x:c r="M88" s="23"/>
      <x:c r="N88" s="23"/>
      <x:c r="O88" s="20"/>
      <x:c r="P88" s="20"/>
      <x:c r="Q88" s="23"/>
      <x:c r="R88" s="20"/>
      <x:c r="S88" s="23"/>
    </x:row>
    <x:row r="89">
      <x:c r="A89" s="20"/>
      <x:c r="B89" s="20"/>
      <x:c r="C89" s="20"/>
      <x:c r="D89" s="20"/>
      <x:c r="E89" s="20"/>
      <x:c r="F89" s="20"/>
      <x:c r="G89" s="20"/>
      <x:c r="H89" s="20"/>
      <x:c r="I89" s="20"/>
      <x:c r="J89" s="20"/>
      <x:c r="K89" s="20"/>
      <x:c r="L89" s="20"/>
      <x:c r="M89" s="23"/>
      <x:c r="N89" s="23"/>
      <x:c r="O89" s="20"/>
      <x:c r="P89" s="20"/>
      <x:c r="Q89" s="23"/>
      <x:c r="R89" s="20"/>
      <x:c r="S89" s="23"/>
    </x:row>
    <x:row r="90">
      <x:c r="A90" s="20"/>
      <x:c r="B90" s="20"/>
      <x:c r="C90" s="20"/>
      <x:c r="D90" s="20"/>
      <x:c r="E90" s="20"/>
      <x:c r="F90" s="20"/>
      <x:c r="G90" s="20"/>
      <x:c r="H90" s="20"/>
      <x:c r="I90" s="20"/>
      <x:c r="J90" s="20"/>
      <x:c r="K90" s="20"/>
      <x:c r="L90" s="20"/>
      <x:c r="M90" s="23"/>
      <x:c r="N90" s="23"/>
      <x:c r="O90" s="20"/>
      <x:c r="P90" s="20"/>
      <x:c r="Q90" s="23"/>
      <x:c r="R90" s="20"/>
      <x:c r="S90" s="23"/>
    </x:row>
    <x:row r="91">
      <x:c r="A91" s="20"/>
      <x:c r="B91" s="20"/>
      <x:c r="C91" s="20"/>
      <x:c r="D91" s="20"/>
      <x:c r="E91" s="20"/>
      <x:c r="F91" s="20"/>
      <x:c r="G91" s="20"/>
      <x:c r="H91" s="20"/>
      <x:c r="I91" s="20"/>
      <x:c r="J91" s="20"/>
      <x:c r="K91" s="20"/>
      <x:c r="L91" s="20"/>
      <x:c r="M91" s="23"/>
      <x:c r="N91" s="23"/>
      <x:c r="O91" s="20"/>
      <x:c r="P91" s="20"/>
      <x:c r="Q91" s="23"/>
      <x:c r="R91" s="20"/>
      <x:c r="S91" s="23"/>
    </x:row>
    <x:row r="92">
      <x:c r="A92" s="20"/>
      <x:c r="B92" s="20"/>
      <x:c r="C92" s="20"/>
      <x:c r="D92" s="20"/>
      <x:c r="E92" s="20"/>
      <x:c r="F92" s="20"/>
      <x:c r="G92" s="20"/>
      <x:c r="H92" s="20"/>
      <x:c r="I92" s="20"/>
      <x:c r="J92" s="20"/>
      <x:c r="K92" s="20"/>
      <x:c r="L92" s="20"/>
      <x:c r="M92" s="23"/>
      <x:c r="N92" s="23"/>
      <x:c r="O92" s="20"/>
      <x:c r="P92" s="20"/>
      <x:c r="Q92" s="23"/>
      <x:c r="R92" s="20"/>
      <x:c r="S92" s="23"/>
    </x:row>
    <x:row r="93">
      <x:c r="A93" s="20"/>
      <x:c r="B93" s="20"/>
      <x:c r="C93" s="20"/>
      <x:c r="D93" s="20"/>
      <x:c r="E93" s="20"/>
      <x:c r="F93" s="20"/>
      <x:c r="G93" s="20"/>
      <x:c r="H93" s="20"/>
      <x:c r="I93" s="20"/>
      <x:c r="J93" s="20"/>
      <x:c r="K93" s="20"/>
      <x:c r="L93" s="20"/>
      <x:c r="M93" s="23"/>
      <x:c r="N93" s="23"/>
      <x:c r="O93" s="20"/>
      <x:c r="P93" s="20"/>
      <x:c r="Q93" s="23"/>
      <x:c r="R93" s="20"/>
      <x:c r="S93" s="23"/>
    </x:row>
    <x:row r="94">
      <x:c r="A94" s="20"/>
      <x:c r="B94" s="20"/>
      <x:c r="C94" s="20"/>
      <x:c r="D94" s="20"/>
      <x:c r="E94" s="20"/>
      <x:c r="F94" s="20"/>
      <x:c r="G94" s="20"/>
      <x:c r="H94" s="20"/>
      <x:c r="I94" s="20"/>
      <x:c r="J94" s="20"/>
      <x:c r="K94" s="20"/>
      <x:c r="L94" s="20"/>
      <x:c r="M94" s="23"/>
      <x:c r="N94" s="23"/>
      <x:c r="O94" s="20"/>
      <x:c r="P94" s="20"/>
      <x:c r="Q94" s="23"/>
      <x:c r="R94" s="20"/>
      <x:c r="S94" s="23"/>
    </x:row>
    <x:row r="95">
      <x:c r="A95" s="20"/>
      <x:c r="B95" s="20"/>
      <x:c r="C95" s="20"/>
      <x:c r="D95" s="20"/>
      <x:c r="E95" s="20"/>
      <x:c r="F95" s="20"/>
      <x:c r="G95" s="20"/>
      <x:c r="H95" s="20"/>
      <x:c r="I95" s="20"/>
      <x:c r="J95" s="20"/>
      <x:c r="K95" s="20"/>
      <x:c r="L95" s="20"/>
      <x:c r="M95" s="23"/>
      <x:c r="N95" s="23"/>
      <x:c r="O95" s="20"/>
      <x:c r="P95" s="20"/>
      <x:c r="Q95" s="23"/>
      <x:c r="R95" s="20"/>
      <x:c r="S95" s="23"/>
    </x:row>
    <x:row r="96">
      <x:c r="A96" s="20"/>
      <x:c r="B96" s="20"/>
      <x:c r="C96" s="20"/>
      <x:c r="D96" s="20"/>
      <x:c r="E96" s="20"/>
      <x:c r="F96" s="20"/>
      <x:c r="G96" s="20"/>
      <x:c r="H96" s="20"/>
      <x:c r="I96" s="20"/>
      <x:c r="J96" s="20"/>
      <x:c r="K96" s="20"/>
      <x:c r="L96" s="20"/>
      <x:c r="M96" s="23"/>
      <x:c r="N96" s="23"/>
      <x:c r="O96" s="20"/>
      <x:c r="P96" s="20"/>
      <x:c r="Q96" s="23"/>
      <x:c r="R96" s="20"/>
      <x:c r="S96" s="23"/>
    </x:row>
    <x:row r="97">
      <x:c r="A97" s="20"/>
      <x:c r="B97" s="20"/>
      <x:c r="C97" s="20"/>
      <x:c r="D97" s="20"/>
      <x:c r="E97" s="20"/>
      <x:c r="F97" s="20"/>
      <x:c r="G97" s="20"/>
      <x:c r="H97" s="20"/>
      <x:c r="I97" s="20"/>
      <x:c r="J97" s="20"/>
      <x:c r="K97" s="20"/>
      <x:c r="L97" s="20"/>
      <x:c r="M97" s="23"/>
      <x:c r="N97" s="23"/>
      <x:c r="O97" s="20"/>
      <x:c r="P97" s="20"/>
      <x:c r="Q97" s="23"/>
      <x:c r="R97" s="20"/>
      <x:c r="S97" s="23"/>
    </x:row>
    <x:row r="98">
      <x:c r="A98" s="20"/>
      <x:c r="B98" s="20"/>
      <x:c r="C98" s="20"/>
      <x:c r="D98" s="20"/>
      <x:c r="E98" s="20"/>
      <x:c r="F98" s="20"/>
      <x:c r="G98" s="20"/>
      <x:c r="H98" s="20"/>
      <x:c r="I98" s="20"/>
      <x:c r="J98" s="20"/>
      <x:c r="K98" s="20"/>
      <x:c r="L98" s="20"/>
      <x:c r="M98" s="23"/>
      <x:c r="N98" s="23"/>
      <x:c r="O98" s="20"/>
      <x:c r="P98" s="20"/>
      <x:c r="Q98" s="23"/>
      <x:c r="R98" s="20"/>
      <x:c r="S98" s="23"/>
    </x:row>
    <x:row r="99">
      <x:c r="A99" s="20"/>
      <x:c r="B99" s="20"/>
      <x:c r="C99" s="20"/>
      <x:c r="D99" s="20"/>
      <x:c r="E99" s="20"/>
      <x:c r="F99" s="20"/>
      <x:c r="G99" s="20"/>
      <x:c r="H99" s="20"/>
      <x:c r="I99" s="20"/>
      <x:c r="J99" s="20"/>
      <x:c r="K99" s="20"/>
      <x:c r="L99" s="20"/>
      <x:c r="M99" s="23"/>
      <x:c r="N99" s="23"/>
      <x:c r="O99" s="20"/>
      <x:c r="P99" s="20"/>
      <x:c r="Q99" s="23"/>
      <x:c r="R99" s="20"/>
      <x:c r="S99" s="23"/>
    </x:row>
    <x:row r="100">
      <x:c r="A100" s="20"/>
      <x:c r="B100" s="20"/>
      <x:c r="C100" s="20"/>
      <x:c r="D100" s="20"/>
      <x:c r="E100" s="20"/>
      <x:c r="F100" s="20"/>
      <x:c r="G100" s="20"/>
      <x:c r="H100" s="20"/>
      <x:c r="I100" s="20"/>
      <x:c r="J100" s="20"/>
      <x:c r="K100" s="20"/>
      <x:c r="L100" s="20"/>
      <x:c r="M100" s="23"/>
      <x:c r="N100" s="23"/>
      <x:c r="O100" s="20"/>
      <x:c r="P100" s="20"/>
      <x:c r="Q100" s="23"/>
      <x:c r="R100" s="20"/>
      <x:c r="S100" s="23"/>
    </x:row>
    <x:row r="101">
      <x:c r="A101" s="20"/>
      <x:c r="B101" s="20"/>
      <x:c r="C101" s="20"/>
      <x:c r="D101" s="20"/>
      <x:c r="E101" s="20"/>
      <x:c r="F101" s="20"/>
      <x:c r="G101" s="20"/>
      <x:c r="H101" s="20"/>
      <x:c r="I101" s="20"/>
      <x:c r="J101" s="20"/>
      <x:c r="K101" s="20"/>
      <x:c r="L101" s="20"/>
      <x:c r="M101" s="23"/>
      <x:c r="N101" s="23"/>
      <x:c r="O101" s="20"/>
      <x:c r="P101" s="20"/>
      <x:c r="Q101" s="23"/>
      <x:c r="R101" s="20"/>
      <x:c r="S101" s="23"/>
    </x:row>
    <x:row r="102">
      <x:c r="A102" s="20"/>
      <x:c r="B102" s="20"/>
      <x:c r="C102" s="20"/>
      <x:c r="D102" s="20"/>
      <x:c r="E102" s="20"/>
      <x:c r="F102" s="20"/>
      <x:c r="G102" s="20"/>
      <x:c r="H102" s="20"/>
      <x:c r="I102" s="20"/>
      <x:c r="J102" s="20"/>
      <x:c r="K102" s="20"/>
      <x:c r="L102" s="20"/>
      <x:c r="M102" s="23"/>
      <x:c r="N102" s="23"/>
      <x:c r="O102" s="20"/>
      <x:c r="P102" s="20"/>
      <x:c r="Q102" s="23"/>
      <x:c r="R102" s="20"/>
      <x:c r="S102" s="23"/>
    </x:row>
    <x:row r="103">
      <x:c r="A103" s="20"/>
      <x:c r="B103" s="20"/>
      <x:c r="C103" s="20"/>
      <x:c r="D103" s="20"/>
      <x:c r="E103" s="20"/>
      <x:c r="F103" s="20"/>
      <x:c r="G103" s="20"/>
      <x:c r="H103" s="20"/>
      <x:c r="I103" s="20"/>
      <x:c r="J103" s="20"/>
      <x:c r="K103" s="20"/>
      <x:c r="L103" s="20"/>
      <x:c r="M103" s="23"/>
      <x:c r="N103" s="23"/>
      <x:c r="O103" s="20"/>
      <x:c r="P103" s="20"/>
      <x:c r="Q103" s="23"/>
      <x:c r="R103" s="20"/>
      <x:c r="S103" s="23"/>
    </x:row>
    <x:row r="104">
      <x:c r="A104" s="20"/>
      <x:c r="B104" s="20"/>
      <x:c r="C104" s="20"/>
      <x:c r="D104" s="20"/>
      <x:c r="E104" s="20"/>
      <x:c r="F104" s="20"/>
      <x:c r="G104" s="20"/>
      <x:c r="H104" s="20"/>
      <x:c r="I104" s="20"/>
      <x:c r="J104" s="20"/>
      <x:c r="K104" s="20"/>
      <x:c r="L104" s="20"/>
      <x:c r="M104" s="23"/>
      <x:c r="N104" s="23"/>
      <x:c r="O104" s="20"/>
      <x:c r="P104" s="20"/>
      <x:c r="Q104" s="23"/>
      <x:c r="R104" s="20"/>
      <x:c r="S104" s="23"/>
    </x:row>
    <x:row r="105">
      <x:c r="A105" s="20"/>
      <x:c r="B105" s="20"/>
      <x:c r="C105" s="20"/>
      <x:c r="D105" s="20"/>
      <x:c r="E105" s="20"/>
      <x:c r="F105" s="20"/>
      <x:c r="G105" s="20"/>
      <x:c r="H105" s="20"/>
      <x:c r="I105" s="20"/>
      <x:c r="J105" s="20"/>
      <x:c r="K105" s="20"/>
      <x:c r="L105" s="20"/>
      <x:c r="M105" s="23"/>
      <x:c r="N105" s="23"/>
      <x:c r="O105" s="20"/>
      <x:c r="P105" s="20"/>
      <x:c r="Q105" s="23"/>
      <x:c r="R105" s="20"/>
      <x:c r="S105" s="23"/>
    </x:row>
    <x:row r="106">
      <x:c r="A106" s="20"/>
      <x:c r="B106" s="20"/>
      <x:c r="C106" s="20"/>
      <x:c r="D106" s="20"/>
      <x:c r="E106" s="20"/>
      <x:c r="F106" s="20"/>
      <x:c r="G106" s="20"/>
      <x:c r="H106" s="20"/>
      <x:c r="I106" s="20"/>
      <x:c r="J106" s="20"/>
      <x:c r="K106" s="20"/>
      <x:c r="L106" s="20"/>
      <x:c r="M106" s="23"/>
      <x:c r="N106" s="23"/>
      <x:c r="O106" s="20"/>
      <x:c r="P106" s="20"/>
      <x:c r="Q106" s="23"/>
      <x:c r="R106" s="20"/>
      <x:c r="S106" s="23"/>
    </x:row>
    <x:row r="107">
      <x:c r="A107" s="20"/>
      <x:c r="B107" s="20"/>
      <x:c r="C107" s="20"/>
      <x:c r="D107" s="20"/>
      <x:c r="E107" s="20"/>
      <x:c r="F107" s="20"/>
      <x:c r="G107" s="20"/>
      <x:c r="H107" s="20"/>
      <x:c r="I107" s="20"/>
      <x:c r="J107" s="20"/>
      <x:c r="K107" s="20"/>
      <x:c r="L107" s="20"/>
      <x:c r="M107" s="23"/>
      <x:c r="N107" s="23"/>
      <x:c r="O107" s="20"/>
      <x:c r="P107" s="20"/>
      <x:c r="Q107" s="23"/>
      <x:c r="R107" s="20"/>
      <x:c r="S107" s="23"/>
    </x:row>
    <x:row r="108">
      <x:c r="A108" s="20"/>
      <x:c r="B108" s="20"/>
      <x:c r="C108" s="20"/>
      <x:c r="D108" s="20"/>
      <x:c r="E108" s="20"/>
      <x:c r="F108" s="20"/>
      <x:c r="G108" s="20"/>
      <x:c r="H108" s="20"/>
      <x:c r="I108" s="20"/>
      <x:c r="J108" s="20"/>
      <x:c r="K108" s="20"/>
      <x:c r="L108" s="20"/>
      <x:c r="M108" s="23"/>
      <x:c r="N108" s="23"/>
      <x:c r="O108" s="20"/>
      <x:c r="P108" s="20"/>
      <x:c r="Q108" s="23"/>
      <x:c r="R108" s="20"/>
      <x:c r="S108" s="23"/>
    </x:row>
    <x:row r="109">
      <x:c r="A109" s="20"/>
      <x:c r="B109" s="20"/>
      <x:c r="C109" s="20"/>
      <x:c r="D109" s="20"/>
      <x:c r="E109" s="20"/>
      <x:c r="F109" s="20"/>
      <x:c r="G109" s="20"/>
      <x:c r="H109" s="20"/>
      <x:c r="I109" s="20"/>
      <x:c r="J109" s="20"/>
      <x:c r="K109" s="20"/>
      <x:c r="L109" s="20"/>
      <x:c r="M109" s="23"/>
      <x:c r="N109" s="23"/>
      <x:c r="O109" s="20"/>
      <x:c r="P109" s="20"/>
      <x:c r="Q109" s="23"/>
      <x:c r="R109" s="20"/>
      <x:c r="S109" s="23"/>
    </x:row>
    <x:row r="110">
      <x:c r="A110" s="20"/>
      <x:c r="B110" s="20"/>
      <x:c r="C110" s="20"/>
      <x:c r="D110" s="20"/>
      <x:c r="E110" s="20"/>
      <x:c r="F110" s="20"/>
      <x:c r="G110" s="20"/>
      <x:c r="H110" s="20"/>
      <x:c r="I110" s="20"/>
      <x:c r="J110" s="20"/>
      <x:c r="K110" s="20"/>
      <x:c r="L110" s="20"/>
      <x:c r="M110" s="23"/>
      <x:c r="N110" s="23"/>
      <x:c r="O110" s="20"/>
      <x:c r="P110" s="20"/>
      <x:c r="Q110" s="23"/>
      <x:c r="R110" s="20"/>
      <x:c r="S110" s="23"/>
    </x:row>
    <x:row r="111">
      <x:c r="A111" s="20"/>
      <x:c r="B111" s="20"/>
      <x:c r="C111" s="20"/>
      <x:c r="D111" s="20"/>
      <x:c r="E111" s="20"/>
      <x:c r="F111" s="20"/>
      <x:c r="G111" s="20"/>
      <x:c r="H111" s="20"/>
      <x:c r="I111" s="20"/>
      <x:c r="J111" s="20"/>
      <x:c r="K111" s="20"/>
      <x:c r="L111" s="20"/>
      <x:c r="M111" s="23"/>
      <x:c r="N111" s="23"/>
      <x:c r="O111" s="20"/>
      <x:c r="P111" s="20"/>
      <x:c r="Q111" s="23"/>
      <x:c r="R111" s="20"/>
      <x:c r="S111" s="23"/>
    </x:row>
    <x:row r="112">
      <x:c r="A112" s="20"/>
      <x:c r="B112" s="20"/>
      <x:c r="C112" s="20"/>
      <x:c r="D112" s="20"/>
      <x:c r="E112" s="20"/>
      <x:c r="F112" s="20"/>
      <x:c r="G112" s="20"/>
      <x:c r="H112" s="20"/>
      <x:c r="I112" s="20"/>
      <x:c r="J112" s="20"/>
      <x:c r="K112" s="20"/>
      <x:c r="L112" s="20"/>
      <x:c r="M112" s="23"/>
      <x:c r="N112" s="23"/>
      <x:c r="O112" s="20"/>
      <x:c r="P112" s="20"/>
      <x:c r="Q112" s="23"/>
      <x:c r="R112" s="20"/>
      <x:c r="S112" s="23"/>
    </x:row>
    <x:row r="113">
      <x:c r="A113" s="20"/>
      <x:c r="B113" s="20"/>
      <x:c r="C113" s="20"/>
      <x:c r="D113" s="20"/>
      <x:c r="E113" s="20"/>
      <x:c r="F113" s="20"/>
      <x:c r="G113" s="20"/>
      <x:c r="H113" s="20"/>
      <x:c r="I113" s="20"/>
      <x:c r="J113" s="20"/>
      <x:c r="K113" s="20"/>
      <x:c r="L113" s="20"/>
      <x:c r="M113" s="23"/>
      <x:c r="N113" s="23"/>
      <x:c r="O113" s="20"/>
      <x:c r="P113" s="20"/>
      <x:c r="Q113" s="23"/>
      <x:c r="R113" s="20"/>
      <x:c r="S113" s="23"/>
    </x:row>
    <x:row r="114">
      <x:c r="A114" s="20"/>
      <x:c r="B114" s="20"/>
      <x:c r="C114" s="20"/>
      <x:c r="D114" s="20"/>
      <x:c r="E114" s="20"/>
      <x:c r="F114" s="20"/>
      <x:c r="G114" s="20"/>
      <x:c r="H114" s="20"/>
      <x:c r="I114" s="20"/>
      <x:c r="J114" s="20"/>
      <x:c r="K114" s="20"/>
      <x:c r="L114" s="20"/>
      <x:c r="M114" s="23"/>
      <x:c r="N114" s="23"/>
      <x:c r="O114" s="20"/>
      <x:c r="P114" s="20"/>
      <x:c r="Q114" s="23"/>
      <x:c r="R114" s="20"/>
      <x:c r="S114" s="23"/>
    </x:row>
    <x:row r="115">
      <x:c r="A115" s="20"/>
      <x:c r="B115" s="20"/>
      <x:c r="C115" s="20"/>
      <x:c r="D115" s="20"/>
      <x:c r="E115" s="20"/>
      <x:c r="F115" s="20"/>
      <x:c r="G115" s="20"/>
      <x:c r="H115" s="20"/>
      <x:c r="I115" s="20"/>
      <x:c r="J115" s="20"/>
      <x:c r="K115" s="20"/>
      <x:c r="L115" s="20"/>
      <x:c r="M115" s="23"/>
      <x:c r="N115" s="23"/>
      <x:c r="O115" s="20"/>
      <x:c r="P115" s="20"/>
      <x:c r="Q115" s="23"/>
      <x:c r="R115" s="20"/>
      <x:c r="S115" s="23"/>
    </x:row>
    <x:row r="116">
      <x:c r="A116" s="20"/>
      <x:c r="B116" s="20"/>
      <x:c r="C116" s="20"/>
      <x:c r="D116" s="20"/>
      <x:c r="E116" s="20"/>
      <x:c r="F116" s="20"/>
      <x:c r="G116" s="20"/>
      <x:c r="H116" s="20"/>
      <x:c r="I116" s="20"/>
      <x:c r="J116" s="20"/>
      <x:c r="K116" s="20"/>
      <x:c r="L116" s="20"/>
      <x:c r="M116" s="23"/>
      <x:c r="N116" s="23"/>
      <x:c r="O116" s="20"/>
      <x:c r="P116" s="20"/>
      <x:c r="Q116" s="23"/>
      <x:c r="R116" s="20"/>
      <x:c r="S116" s="23"/>
    </x:row>
    <x:row r="117">
      <x:c r="A117" s="20"/>
      <x:c r="B117" s="20"/>
      <x:c r="C117" s="20"/>
      <x:c r="D117" s="20"/>
      <x:c r="E117" s="20"/>
      <x:c r="F117" s="20"/>
      <x:c r="G117" s="20"/>
      <x:c r="H117" s="20"/>
      <x:c r="I117" s="20"/>
      <x:c r="J117" s="20"/>
      <x:c r="K117" s="20"/>
      <x:c r="L117" s="20"/>
      <x:c r="M117" s="23"/>
      <x:c r="N117" s="23"/>
      <x:c r="O117" s="20"/>
      <x:c r="P117" s="20"/>
      <x:c r="Q117" s="23"/>
      <x:c r="R117" s="20"/>
      <x:c r="S117" s="23"/>
    </x:row>
    <x:row r="118">
      <x:c r="A118" s="20"/>
      <x:c r="B118" s="20"/>
      <x:c r="C118" s="20"/>
      <x:c r="D118" s="20"/>
      <x:c r="E118" s="20"/>
      <x:c r="F118" s="20"/>
      <x:c r="G118" s="20"/>
      <x:c r="H118" s="20"/>
      <x:c r="I118" s="20"/>
      <x:c r="J118" s="20"/>
      <x:c r="K118" s="20"/>
      <x:c r="L118" s="20"/>
      <x:c r="M118" s="23"/>
      <x:c r="N118" s="23"/>
      <x:c r="O118" s="20"/>
      <x:c r="P118" s="20"/>
      <x:c r="Q118" s="23"/>
      <x:c r="R118" s="20"/>
      <x:c r="S118" s="23"/>
    </x:row>
    <x:row r="119">
      <x:c r="A119" s="20"/>
      <x:c r="B119" s="20"/>
      <x:c r="C119" s="20"/>
      <x:c r="D119" s="20"/>
      <x:c r="E119" s="20"/>
      <x:c r="F119" s="20"/>
      <x:c r="G119" s="20"/>
      <x:c r="H119" s="20"/>
      <x:c r="I119" s="20"/>
      <x:c r="J119" s="20"/>
      <x:c r="K119" s="20"/>
      <x:c r="L119" s="20"/>
      <x:c r="M119" s="23"/>
      <x:c r="N119" s="23"/>
      <x:c r="O119" s="20"/>
      <x:c r="P119" s="20"/>
      <x:c r="Q119" s="23"/>
      <x:c r="R119" s="20"/>
      <x:c r="S119" s="23"/>
    </x:row>
    <x:row r="120">
      <x:c r="A120" s="20"/>
      <x:c r="B120" s="20"/>
      <x:c r="C120" s="20"/>
      <x:c r="D120" s="20"/>
      <x:c r="E120" s="20"/>
      <x:c r="F120" s="20"/>
      <x:c r="G120" s="20"/>
      <x:c r="H120" s="20"/>
      <x:c r="I120" s="20"/>
      <x:c r="J120" s="20"/>
      <x:c r="K120" s="20"/>
      <x:c r="L120" s="20"/>
      <x:c r="M120" s="23"/>
      <x:c r="N120" s="23"/>
      <x:c r="O120" s="20"/>
      <x:c r="P120" s="20"/>
      <x:c r="Q120" s="23"/>
      <x:c r="R120" s="20"/>
      <x:c r="S120" s="23"/>
    </x:row>
    <x:row r="121">
      <x:c r="A121" s="20"/>
      <x:c r="B121" s="20"/>
      <x:c r="C121" s="20"/>
      <x:c r="D121" s="20"/>
      <x:c r="E121" s="20"/>
      <x:c r="F121" s="20"/>
      <x:c r="G121" s="20"/>
      <x:c r="H121" s="20"/>
      <x:c r="I121" s="20"/>
      <x:c r="J121" s="20"/>
      <x:c r="K121" s="20"/>
      <x:c r="L121" s="20"/>
      <x:c r="M121" s="23"/>
      <x:c r="N121" s="23"/>
      <x:c r="O121" s="20"/>
      <x:c r="P121" s="20"/>
      <x:c r="Q121" s="23"/>
      <x:c r="R121" s="20"/>
      <x:c r="S121" s="23"/>
    </x:row>
    <x:row r="122">
      <x:c r="A122" s="20"/>
      <x:c r="B122" s="20"/>
      <x:c r="C122" s="20"/>
      <x:c r="D122" s="20"/>
      <x:c r="E122" s="20"/>
      <x:c r="F122" s="20"/>
      <x:c r="G122" s="20"/>
      <x:c r="H122" s="20"/>
      <x:c r="I122" s="20"/>
      <x:c r="J122" s="20"/>
      <x:c r="K122" s="20"/>
      <x:c r="L122" s="20"/>
      <x:c r="M122" s="23"/>
      <x:c r="N122" s="23"/>
      <x:c r="O122" s="20"/>
      <x:c r="P122" s="20"/>
      <x:c r="Q122" s="23"/>
      <x:c r="R122" s="20"/>
      <x:c r="S122" s="23"/>
    </x:row>
    <x:row r="123">
      <x:c r="A123" s="20"/>
      <x:c r="B123" s="20"/>
      <x:c r="C123" s="20"/>
      <x:c r="D123" s="20"/>
      <x:c r="E123" s="20"/>
      <x:c r="F123" s="20"/>
      <x:c r="G123" s="20"/>
      <x:c r="H123" s="20"/>
      <x:c r="I123" s="20"/>
      <x:c r="J123" s="20"/>
      <x:c r="K123" s="20"/>
      <x:c r="L123" s="20"/>
      <x:c r="M123" s="23"/>
      <x:c r="N123" s="23"/>
      <x:c r="O123" s="20"/>
      <x:c r="P123" s="20"/>
      <x:c r="Q123" s="23"/>
      <x:c r="R123" s="20"/>
      <x:c r="S123" s="23"/>
    </x:row>
    <x:row r="124">
      <x:c r="A124" s="20"/>
      <x:c r="B124" s="20"/>
      <x:c r="C124" s="20"/>
      <x:c r="D124" s="20"/>
      <x:c r="E124" s="20"/>
      <x:c r="F124" s="20"/>
      <x:c r="G124" s="20"/>
      <x:c r="H124" s="20"/>
      <x:c r="I124" s="20"/>
      <x:c r="J124" s="20"/>
      <x:c r="K124" s="20"/>
      <x:c r="L124" s="20"/>
      <x:c r="M124" s="23"/>
      <x:c r="N124" s="23"/>
      <x:c r="O124" s="20"/>
      <x:c r="P124" s="20"/>
      <x:c r="Q124" s="23"/>
      <x:c r="R124" s="20"/>
      <x:c r="S124" s="23"/>
    </x:row>
    <x:row r="125">
      <x:c r="A125" s="20"/>
      <x:c r="B125" s="20"/>
      <x:c r="C125" s="20"/>
      <x:c r="D125" s="20"/>
      <x:c r="E125" s="20"/>
      <x:c r="F125" s="20"/>
      <x:c r="G125" s="20"/>
      <x:c r="H125" s="20"/>
      <x:c r="I125" s="20"/>
      <x:c r="J125" s="20"/>
      <x:c r="K125" s="20"/>
      <x:c r="L125" s="20"/>
      <x:c r="M125" s="23"/>
      <x:c r="N125" s="23"/>
      <x:c r="O125" s="20"/>
      <x:c r="P125" s="20"/>
      <x:c r="Q125" s="23"/>
      <x:c r="R125" s="20"/>
      <x:c r="S125" s="23"/>
    </x:row>
    <x:row r="126">
      <x:c r="A126" s="20"/>
      <x:c r="B126" s="20"/>
      <x:c r="C126" s="20"/>
      <x:c r="D126" s="20"/>
      <x:c r="E126" s="20"/>
      <x:c r="F126" s="20"/>
      <x:c r="G126" s="20"/>
      <x:c r="H126" s="20"/>
      <x:c r="I126" s="20"/>
      <x:c r="J126" s="20"/>
      <x:c r="K126" s="20"/>
      <x:c r="L126" s="20"/>
      <x:c r="M126" s="23"/>
      <x:c r="N126" s="23"/>
      <x:c r="O126" s="20"/>
      <x:c r="P126" s="20"/>
      <x:c r="Q126" s="23"/>
      <x:c r="R126" s="20"/>
      <x:c r="S126" s="23"/>
    </x:row>
    <x:row r="127">
      <x:c r="A127" s="20"/>
      <x:c r="B127" s="20"/>
      <x:c r="C127" s="20"/>
      <x:c r="D127" s="20"/>
      <x:c r="E127" s="20"/>
      <x:c r="F127" s="20"/>
      <x:c r="G127" s="20"/>
      <x:c r="H127" s="20"/>
      <x:c r="I127" s="20"/>
      <x:c r="J127" s="20"/>
      <x:c r="K127" s="20"/>
      <x:c r="L127" s="20"/>
      <x:c r="M127" s="23"/>
      <x:c r="N127" s="23"/>
      <x:c r="O127" s="20"/>
      <x:c r="P127" s="20"/>
      <x:c r="Q127" s="23"/>
      <x:c r="R127" s="20"/>
      <x:c r="S127" s="23"/>
    </x:row>
    <x:row r="128">
      <x:c r="A128" s="20"/>
      <x:c r="B128" s="20"/>
      <x:c r="C128" s="20"/>
      <x:c r="D128" s="20"/>
      <x:c r="E128" s="20"/>
      <x:c r="F128" s="20"/>
      <x:c r="G128" s="20"/>
      <x:c r="H128" s="20"/>
      <x:c r="I128" s="20"/>
      <x:c r="J128" s="20"/>
      <x:c r="K128" s="20"/>
      <x:c r="L128" s="20"/>
      <x:c r="M128" s="23"/>
      <x:c r="N128" s="23"/>
      <x:c r="O128" s="20"/>
      <x:c r="P128" s="20"/>
      <x:c r="Q128" s="23"/>
      <x:c r="R128" s="20"/>
      <x:c r="S128" s="23"/>
    </x:row>
    <x:row r="129">
      <x:c r="A129" s="20"/>
      <x:c r="B129" s="20"/>
      <x:c r="C129" s="20"/>
      <x:c r="D129" s="20"/>
      <x:c r="E129" s="20"/>
      <x:c r="F129" s="20"/>
      <x:c r="G129" s="20"/>
      <x:c r="H129" s="20"/>
      <x:c r="I129" s="20"/>
      <x:c r="J129" s="20"/>
      <x:c r="K129" s="20"/>
      <x:c r="L129" s="20"/>
      <x:c r="M129" s="23"/>
      <x:c r="N129" s="23"/>
      <x:c r="O129" s="20"/>
      <x:c r="P129" s="20"/>
      <x:c r="Q129" s="23"/>
      <x:c r="R129" s="20"/>
      <x:c r="S129" s="23"/>
    </x:row>
    <x:row r="130">
      <x:c r="A130" s="20"/>
      <x:c r="B130" s="20"/>
      <x:c r="C130" s="20"/>
      <x:c r="D130" s="20"/>
      <x:c r="E130" s="20"/>
      <x:c r="F130" s="20"/>
      <x:c r="G130" s="20"/>
      <x:c r="H130" s="20"/>
      <x:c r="I130" s="20"/>
      <x:c r="J130" s="20"/>
      <x:c r="K130" s="20"/>
      <x:c r="L130" s="20"/>
      <x:c r="M130" s="23"/>
      <x:c r="N130" s="23"/>
      <x:c r="O130" s="20"/>
      <x:c r="P130" s="20"/>
      <x:c r="Q130" s="23"/>
      <x:c r="R130" s="20"/>
      <x:c r="S130" s="23"/>
    </x:row>
    <x:row r="131">
      <x:c r="A131" s="20"/>
      <x:c r="B131" s="20"/>
      <x:c r="C131" s="20"/>
      <x:c r="D131" s="20"/>
      <x:c r="E131" s="20"/>
      <x:c r="F131" s="20"/>
      <x:c r="G131" s="20"/>
      <x:c r="H131" s="20"/>
      <x:c r="I131" s="20"/>
      <x:c r="J131" s="20"/>
      <x:c r="K131" s="20"/>
      <x:c r="L131" s="20"/>
      <x:c r="M131" s="23"/>
      <x:c r="N131" s="23"/>
      <x:c r="O131" s="20"/>
      <x:c r="P131" s="20"/>
      <x:c r="Q131" s="23"/>
      <x:c r="R131" s="20"/>
      <x:c r="S131" s="23"/>
    </x:row>
    <x:row r="132">
      <x:c r="A132" s="20"/>
      <x:c r="B132" s="20"/>
      <x:c r="C132" s="20"/>
      <x:c r="D132" s="20"/>
      <x:c r="E132" s="20"/>
      <x:c r="F132" s="20"/>
      <x:c r="G132" s="20"/>
      <x:c r="H132" s="20"/>
      <x:c r="I132" s="20"/>
      <x:c r="J132" s="20"/>
      <x:c r="K132" s="20"/>
      <x:c r="L132" s="20"/>
      <x:c r="M132" s="23"/>
      <x:c r="N132" s="23"/>
      <x:c r="O132" s="20"/>
      <x:c r="P132" s="20"/>
      <x:c r="Q132" s="23"/>
      <x:c r="R132" s="20"/>
      <x:c r="S132" s="23"/>
    </x:row>
    <x:row r="133">
      <x:c r="A133" s="20"/>
      <x:c r="B133" s="20"/>
      <x:c r="C133" s="20"/>
      <x:c r="D133" s="20"/>
      <x:c r="E133" s="20"/>
      <x:c r="F133" s="20"/>
      <x:c r="G133" s="20"/>
      <x:c r="H133" s="20"/>
      <x:c r="I133" s="20"/>
      <x:c r="J133" s="20"/>
      <x:c r="K133" s="20"/>
      <x:c r="L133" s="20"/>
      <x:c r="M133" s="23"/>
      <x:c r="N133" s="23"/>
      <x:c r="O133" s="20"/>
      <x:c r="P133" s="20"/>
      <x:c r="Q133" s="23"/>
      <x:c r="R133" s="20"/>
      <x:c r="S133" s="23"/>
    </x:row>
    <x:row r="134">
      <x:c r="A134" s="20"/>
      <x:c r="B134" s="20"/>
      <x:c r="C134" s="20"/>
      <x:c r="D134" s="20"/>
      <x:c r="E134" s="20"/>
      <x:c r="F134" s="20"/>
      <x:c r="G134" s="20"/>
      <x:c r="H134" s="20"/>
      <x:c r="I134" s="20"/>
      <x:c r="J134" s="20"/>
      <x:c r="K134" s="20"/>
      <x:c r="L134" s="20"/>
      <x:c r="M134" s="23"/>
      <x:c r="N134" s="23"/>
      <x:c r="O134" s="20"/>
      <x:c r="P134" s="20"/>
      <x:c r="Q134" s="23"/>
      <x:c r="R134" s="20"/>
      <x:c r="S134" s="23"/>
    </x:row>
    <x:row r="135">
      <x:c r="A135" s="20"/>
      <x:c r="B135" s="20"/>
      <x:c r="C135" s="20"/>
      <x:c r="D135" s="20"/>
      <x:c r="E135" s="20"/>
      <x:c r="F135" s="20"/>
      <x:c r="G135" s="20"/>
      <x:c r="H135" s="20"/>
      <x:c r="I135" s="20"/>
      <x:c r="J135" s="20"/>
      <x:c r="K135" s="20"/>
      <x:c r="L135" s="20"/>
      <x:c r="M135" s="23"/>
      <x:c r="N135" s="23"/>
      <x:c r="O135" s="20"/>
      <x:c r="P135" s="20"/>
      <x:c r="Q135" s="23"/>
      <x:c r="R135" s="20"/>
      <x:c r="S135" s="23"/>
    </x:row>
    <x:row r="136">
      <x:c r="A136" s="20"/>
      <x:c r="B136" s="20"/>
      <x:c r="C136" s="20"/>
      <x:c r="D136" s="20"/>
      <x:c r="E136" s="20"/>
      <x:c r="F136" s="20"/>
      <x:c r="G136" s="20"/>
      <x:c r="H136" s="20"/>
      <x:c r="I136" s="20"/>
      <x:c r="J136" s="20"/>
      <x:c r="K136" s="20"/>
      <x:c r="L136" s="20"/>
      <x:c r="M136" s="23"/>
      <x:c r="N136" s="23"/>
      <x:c r="O136" s="20"/>
      <x:c r="P136" s="20"/>
      <x:c r="Q136" s="23"/>
      <x:c r="R136" s="20"/>
      <x:c r="S136" s="23"/>
    </x:row>
    <x:row r="137">
      <x:c r="A137" s="20"/>
      <x:c r="B137" s="20"/>
      <x:c r="C137" s="20"/>
      <x:c r="D137" s="20"/>
      <x:c r="E137" s="20"/>
      <x:c r="F137" s="20"/>
      <x:c r="G137" s="20"/>
      <x:c r="H137" s="20"/>
      <x:c r="I137" s="20"/>
      <x:c r="J137" s="20"/>
      <x:c r="K137" s="20"/>
      <x:c r="L137" s="20"/>
      <x:c r="M137" s="23"/>
      <x:c r="N137" s="23"/>
      <x:c r="O137" s="20"/>
      <x:c r="P137" s="20"/>
      <x:c r="Q137" s="23"/>
      <x:c r="R137" s="20"/>
      <x:c r="S137" s="23"/>
    </x:row>
    <x:row r="138">
      <x:c r="A138" s="20"/>
      <x:c r="B138" s="20"/>
      <x:c r="C138" s="20"/>
      <x:c r="D138" s="20"/>
      <x:c r="E138" s="20"/>
      <x:c r="F138" s="20"/>
      <x:c r="G138" s="20"/>
      <x:c r="H138" s="20"/>
      <x:c r="I138" s="20"/>
      <x:c r="J138" s="20"/>
      <x:c r="K138" s="20"/>
      <x:c r="L138" s="20"/>
      <x:c r="M138" s="23"/>
      <x:c r="N138" s="23"/>
      <x:c r="O138" s="20"/>
      <x:c r="P138" s="20"/>
      <x:c r="Q138" s="23"/>
      <x:c r="R138" s="20"/>
      <x:c r="S138" s="23"/>
    </x:row>
    <x:row r="139">
      <x:c r="A139" s="20"/>
      <x:c r="B139" s="20"/>
      <x:c r="C139" s="20"/>
      <x:c r="D139" s="20"/>
      <x:c r="E139" s="20"/>
      <x:c r="F139" s="20"/>
      <x:c r="G139" s="20"/>
      <x:c r="H139" s="20"/>
      <x:c r="I139" s="20"/>
      <x:c r="J139" s="20"/>
      <x:c r="K139" s="20"/>
      <x:c r="L139" s="20"/>
      <x:c r="M139" s="23"/>
      <x:c r="N139" s="23"/>
      <x:c r="O139" s="20"/>
      <x:c r="P139" s="20"/>
      <x:c r="Q139" s="23"/>
      <x:c r="R139" s="20"/>
      <x:c r="S139" s="23"/>
    </x:row>
    <x:row r="140">
      <x:c r="A140" s="20"/>
      <x:c r="B140" s="20"/>
      <x:c r="C140" s="20"/>
      <x:c r="D140" s="20"/>
      <x:c r="E140" s="20"/>
      <x:c r="F140" s="20"/>
      <x:c r="G140" s="20"/>
      <x:c r="H140" s="20"/>
      <x:c r="I140" s="20"/>
      <x:c r="J140" s="20"/>
      <x:c r="K140" s="20"/>
      <x:c r="L140" s="20"/>
      <x:c r="M140" s="23"/>
      <x:c r="N140" s="23"/>
      <x:c r="O140" s="20"/>
      <x:c r="P140" s="20"/>
      <x:c r="Q140" s="23"/>
      <x:c r="R140" s="20"/>
      <x:c r="S140" s="23"/>
    </x:row>
    <x:row r="141">
      <x:c r="A141" s="20"/>
      <x:c r="B141" s="20"/>
      <x:c r="C141" s="20"/>
      <x:c r="D141" s="20"/>
      <x:c r="E141" s="20"/>
      <x:c r="F141" s="20"/>
      <x:c r="G141" s="20"/>
      <x:c r="H141" s="20"/>
      <x:c r="I141" s="20"/>
      <x:c r="J141" s="20"/>
      <x:c r="K141" s="20"/>
      <x:c r="L141" s="20"/>
      <x:c r="M141" s="23"/>
      <x:c r="N141" s="23"/>
      <x:c r="O141" s="20"/>
      <x:c r="P141" s="20"/>
      <x:c r="Q141" s="23"/>
      <x:c r="R141" s="20"/>
      <x:c r="S141" s="23"/>
    </x:row>
    <x:row r="142">
      <x:c r="A142" s="20"/>
      <x:c r="B142" s="20"/>
      <x:c r="C142" s="20"/>
      <x:c r="D142" s="20"/>
      <x:c r="E142" s="20"/>
      <x:c r="F142" s="20"/>
      <x:c r="G142" s="20"/>
      <x:c r="H142" s="20"/>
      <x:c r="I142" s="20"/>
      <x:c r="J142" s="20"/>
      <x:c r="K142" s="20"/>
      <x:c r="L142" s="20"/>
      <x:c r="M142" s="23"/>
      <x:c r="N142" s="23"/>
      <x:c r="O142" s="20"/>
      <x:c r="P142" s="20"/>
      <x:c r="Q142" s="23"/>
      <x:c r="R142" s="20"/>
      <x:c r="S142" s="23"/>
    </x:row>
    <x:row r="143">
      <x:c r="A143" s="20"/>
      <x:c r="B143" s="20"/>
      <x:c r="C143" s="20"/>
      <x:c r="D143" s="20"/>
      <x:c r="E143" s="20"/>
      <x:c r="F143" s="20"/>
      <x:c r="G143" s="20"/>
      <x:c r="H143" s="20"/>
      <x:c r="I143" s="20"/>
      <x:c r="J143" s="20"/>
      <x:c r="K143" s="20"/>
      <x:c r="L143" s="20"/>
      <x:c r="M143" s="23"/>
      <x:c r="N143" s="23"/>
      <x:c r="O143" s="20"/>
      <x:c r="P143" s="20"/>
      <x:c r="Q143" s="23"/>
      <x:c r="R143" s="20"/>
      <x:c r="S143" s="23"/>
    </x:row>
    <x:row r="144">
      <x:c r="A144" s="20"/>
      <x:c r="B144" s="20"/>
      <x:c r="C144" s="20"/>
      <x:c r="D144" s="20"/>
      <x:c r="E144" s="20"/>
      <x:c r="F144" s="20"/>
      <x:c r="G144" s="20"/>
      <x:c r="H144" s="20"/>
      <x:c r="I144" s="20"/>
      <x:c r="J144" s="20"/>
      <x:c r="K144" s="20"/>
      <x:c r="L144" s="20"/>
      <x:c r="M144" s="23"/>
      <x:c r="N144" s="23"/>
      <x:c r="O144" s="20"/>
      <x:c r="P144" s="20"/>
      <x:c r="Q144" s="23"/>
      <x:c r="R144" s="20"/>
      <x:c r="S144" s="23"/>
    </x:row>
    <x:row r="145">
      <x:c r="A145" s="20"/>
      <x:c r="B145" s="20"/>
      <x:c r="C145" s="20"/>
      <x:c r="D145" s="20"/>
      <x:c r="E145" s="20"/>
      <x:c r="F145" s="20"/>
      <x:c r="G145" s="20"/>
      <x:c r="H145" s="20"/>
      <x:c r="I145" s="20"/>
      <x:c r="J145" s="20"/>
      <x:c r="K145" s="20"/>
      <x:c r="L145" s="20"/>
      <x:c r="M145" s="23"/>
      <x:c r="N145" s="23"/>
      <x:c r="O145" s="20"/>
      <x:c r="P145" s="20"/>
      <x:c r="Q145" s="23"/>
      <x:c r="R145" s="20"/>
      <x:c r="S145" s="23"/>
    </x:row>
    <x:row r="146">
      <x:c r="A146" s="20"/>
      <x:c r="B146" s="20"/>
      <x:c r="C146" s="20"/>
      <x:c r="D146" s="20"/>
      <x:c r="E146" s="20"/>
      <x:c r="F146" s="20"/>
      <x:c r="G146" s="20"/>
      <x:c r="H146" s="20"/>
      <x:c r="I146" s="20"/>
      <x:c r="J146" s="20"/>
      <x:c r="K146" s="20"/>
      <x:c r="L146" s="20"/>
      <x:c r="M146" s="23"/>
      <x:c r="N146" s="23"/>
      <x:c r="O146" s="20"/>
      <x:c r="P146" s="20"/>
      <x:c r="Q146" s="23"/>
      <x:c r="R146" s="20"/>
      <x:c r="S146" s="23"/>
    </x:row>
    <x:row r="147">
      <x:c r="A147" s="20"/>
      <x:c r="B147" s="20"/>
      <x:c r="C147" s="20"/>
      <x:c r="D147" s="20"/>
      <x:c r="E147" s="20"/>
      <x:c r="F147" s="20"/>
      <x:c r="G147" s="20"/>
      <x:c r="H147" s="20"/>
      <x:c r="I147" s="20"/>
      <x:c r="J147" s="20"/>
      <x:c r="K147" s="20"/>
      <x:c r="L147" s="20"/>
      <x:c r="M147" s="23"/>
      <x:c r="N147" s="23"/>
      <x:c r="O147" s="20"/>
      <x:c r="P147" s="20"/>
      <x:c r="Q147" s="23"/>
      <x:c r="R147" s="20"/>
      <x:c r="S147" s="23"/>
    </x:row>
    <x:row r="148">
      <x:c r="A148" s="20"/>
      <x:c r="B148" s="20"/>
      <x:c r="C148" s="20"/>
      <x:c r="D148" s="20"/>
      <x:c r="E148" s="20"/>
      <x:c r="F148" s="20"/>
      <x:c r="G148" s="20"/>
      <x:c r="H148" s="20"/>
      <x:c r="I148" s="20"/>
      <x:c r="J148" s="20"/>
      <x:c r="K148" s="20"/>
      <x:c r="L148" s="20"/>
      <x:c r="M148" s="23"/>
      <x:c r="N148" s="23"/>
      <x:c r="O148" s="20"/>
      <x:c r="P148" s="20"/>
      <x:c r="Q148" s="23"/>
      <x:c r="R148" s="20"/>
      <x:c r="S148" s="23"/>
    </x:row>
    <x:row r="149">
      <x:c r="A149" s="20"/>
      <x:c r="B149" s="20"/>
      <x:c r="C149" s="20"/>
      <x:c r="D149" s="20"/>
      <x:c r="E149" s="20"/>
      <x:c r="F149" s="20"/>
      <x:c r="G149" s="20"/>
      <x:c r="H149" s="20"/>
      <x:c r="I149" s="20"/>
      <x:c r="J149" s="20"/>
      <x:c r="K149" s="20"/>
      <x:c r="L149" s="20"/>
      <x:c r="M149" s="23"/>
      <x:c r="N149" s="23"/>
      <x:c r="O149" s="20"/>
      <x:c r="P149" s="20"/>
      <x:c r="Q149" s="23"/>
      <x:c r="R149" s="20"/>
      <x:c r="S149" s="23"/>
    </x:row>
    <x:row r="150">
      <x:c r="A150" s="20"/>
      <x:c r="B150" s="20"/>
      <x:c r="C150" s="20"/>
      <x:c r="D150" s="20"/>
      <x:c r="E150" s="20"/>
      <x:c r="F150" s="20"/>
      <x:c r="G150" s="20"/>
      <x:c r="H150" s="20"/>
      <x:c r="I150" s="20"/>
      <x:c r="J150" s="20"/>
      <x:c r="K150" s="20"/>
      <x:c r="L150" s="20"/>
      <x:c r="M150" s="23"/>
      <x:c r="N150" s="23"/>
      <x:c r="O150" s="20"/>
      <x:c r="P150" s="20"/>
      <x:c r="Q150" s="23"/>
      <x:c r="R150" s="20"/>
      <x:c r="S150" s="23"/>
    </x:row>
    <x:row r="151">
      <x:c r="A151" s="20"/>
      <x:c r="B151" s="20"/>
      <x:c r="C151" s="20"/>
      <x:c r="D151" s="20"/>
      <x:c r="E151" s="20"/>
      <x:c r="F151" s="20"/>
      <x:c r="G151" s="20"/>
      <x:c r="H151" s="20"/>
      <x:c r="I151" s="20"/>
      <x:c r="J151" s="20"/>
      <x:c r="K151" s="20"/>
      <x:c r="L151" s="20"/>
      <x:c r="M151" s="23"/>
      <x:c r="N151" s="23"/>
      <x:c r="O151" s="20"/>
      <x:c r="P151" s="20"/>
      <x:c r="Q151" s="23"/>
      <x:c r="R151" s="20"/>
      <x:c r="S151" s="23"/>
    </x:row>
    <x:row r="152">
      <x:c r="A152" s="20"/>
      <x:c r="B152" s="20"/>
      <x:c r="C152" s="20"/>
      <x:c r="D152" s="20"/>
      <x:c r="E152" s="20"/>
      <x:c r="F152" s="20"/>
      <x:c r="G152" s="20"/>
      <x:c r="H152" s="20"/>
      <x:c r="I152" s="20"/>
      <x:c r="J152" s="20"/>
      <x:c r="K152" s="20"/>
      <x:c r="L152" s="20"/>
      <x:c r="M152" s="23"/>
      <x:c r="N152" s="23"/>
      <x:c r="O152" s="20"/>
      <x:c r="P152" s="20"/>
      <x:c r="Q152" s="23"/>
      <x:c r="R152" s="20"/>
      <x:c r="S152" s="23"/>
    </x:row>
    <x:row r="153">
      <x:c r="A153" s="20"/>
      <x:c r="B153" s="20"/>
      <x:c r="C153" s="20"/>
      <x:c r="D153" s="20"/>
      <x:c r="E153" s="20"/>
      <x:c r="F153" s="20"/>
      <x:c r="G153" s="20"/>
      <x:c r="H153" s="20"/>
      <x:c r="I153" s="20"/>
      <x:c r="J153" s="20"/>
      <x:c r="K153" s="20"/>
      <x:c r="L153" s="20"/>
      <x:c r="M153" s="23"/>
      <x:c r="N153" s="23"/>
      <x:c r="O153" s="20"/>
      <x:c r="P153" s="20"/>
      <x:c r="Q153" s="23"/>
      <x:c r="R153" s="20"/>
      <x:c r="S153" s="23"/>
    </x:row>
    <x:row r="154">
      <x:c r="A154" s="20"/>
      <x:c r="B154" s="20"/>
      <x:c r="C154" s="20"/>
      <x:c r="D154" s="20"/>
      <x:c r="E154" s="20"/>
      <x:c r="F154" s="20"/>
      <x:c r="G154" s="20"/>
      <x:c r="H154" s="20"/>
      <x:c r="I154" s="20"/>
      <x:c r="J154" s="20"/>
      <x:c r="K154" s="20"/>
      <x:c r="L154" s="20"/>
      <x:c r="M154" s="23"/>
      <x:c r="N154" s="23"/>
      <x:c r="O154" s="20"/>
      <x:c r="P154" s="20"/>
      <x:c r="Q154" s="23"/>
      <x:c r="R154" s="20"/>
      <x:c r="S154" s="23"/>
    </x:row>
    <x:row r="155">
      <x:c r="A155" s="20"/>
      <x:c r="B155" s="20"/>
      <x:c r="C155" s="20"/>
      <x:c r="D155" s="20"/>
      <x:c r="E155" s="20"/>
      <x:c r="F155" s="20"/>
      <x:c r="G155" s="20"/>
      <x:c r="H155" s="20"/>
      <x:c r="I155" s="20"/>
      <x:c r="J155" s="20"/>
      <x:c r="K155" s="20"/>
      <x:c r="L155" s="20"/>
      <x:c r="M155" s="23"/>
      <x:c r="N155" s="23"/>
      <x:c r="O155" s="20"/>
      <x:c r="P155" s="20"/>
      <x:c r="Q155" s="23"/>
      <x:c r="R155" s="20"/>
      <x:c r="S155" s="23"/>
    </x:row>
    <x:row r="156">
      <x:c r="A156" s="20"/>
      <x:c r="B156" s="20"/>
      <x:c r="C156" s="20"/>
      <x:c r="D156" s="20"/>
      <x:c r="E156" s="20"/>
      <x:c r="F156" s="20"/>
      <x:c r="G156" s="20"/>
      <x:c r="H156" s="20"/>
      <x:c r="I156" s="20"/>
      <x:c r="J156" s="20"/>
      <x:c r="K156" s="20"/>
      <x:c r="L156" s="20"/>
      <x:c r="M156" s="23"/>
      <x:c r="N156" s="23"/>
      <x:c r="O156" s="20"/>
      <x:c r="P156" s="20"/>
      <x:c r="Q156" s="23"/>
      <x:c r="R156" s="20"/>
      <x:c r="S156" s="23"/>
    </x:row>
    <x:row r="157">
      <x:c r="A157" s="20"/>
      <x:c r="B157" s="20"/>
      <x:c r="C157" s="20"/>
      <x:c r="D157" s="20"/>
      <x:c r="E157" s="20"/>
      <x:c r="F157" s="20"/>
      <x:c r="G157" s="20"/>
      <x:c r="H157" s="20"/>
      <x:c r="I157" s="20"/>
      <x:c r="J157" s="20"/>
      <x:c r="K157" s="20"/>
      <x:c r="L157" s="20"/>
      <x:c r="M157" s="23"/>
      <x:c r="N157" s="23"/>
      <x:c r="O157" s="20"/>
      <x:c r="P157" s="20"/>
      <x:c r="Q157" s="23"/>
      <x:c r="R157" s="20"/>
      <x:c r="S157" s="23"/>
    </x:row>
    <x:row r="158">
      <x:c r="A158" s="20"/>
      <x:c r="B158" s="20"/>
      <x:c r="C158" s="20"/>
      <x:c r="D158" s="20"/>
      <x:c r="E158" s="20"/>
      <x:c r="F158" s="20"/>
      <x:c r="G158" s="20"/>
      <x:c r="H158" s="20"/>
      <x:c r="I158" s="20"/>
      <x:c r="J158" s="20"/>
      <x:c r="K158" s="20"/>
      <x:c r="L158" s="20"/>
      <x:c r="M158" s="23"/>
      <x:c r="N158" s="23"/>
      <x:c r="O158" s="20"/>
      <x:c r="P158" s="20"/>
      <x:c r="Q158" s="23"/>
      <x:c r="R158" s="20"/>
      <x:c r="S158" s="23"/>
    </x:row>
    <x:row r="159">
      <x:c r="A159" s="20"/>
      <x:c r="B159" s="20"/>
      <x:c r="C159" s="20"/>
      <x:c r="D159" s="20"/>
      <x:c r="E159" s="20"/>
      <x:c r="F159" s="20"/>
      <x:c r="G159" s="20"/>
      <x:c r="H159" s="20"/>
      <x:c r="I159" s="20"/>
      <x:c r="J159" s="20"/>
      <x:c r="K159" s="20"/>
      <x:c r="L159" s="20"/>
      <x:c r="M159" s="23"/>
      <x:c r="N159" s="23"/>
      <x:c r="O159" s="20"/>
      <x:c r="P159" s="20"/>
      <x:c r="Q159" s="23"/>
      <x:c r="R159" s="20"/>
      <x:c r="S159" s="23"/>
    </x:row>
    <x:row r="160">
      <x:c r="A160" s="20"/>
      <x:c r="B160" s="20"/>
      <x:c r="C160" s="20"/>
      <x:c r="D160" s="20"/>
      <x:c r="E160" s="20"/>
      <x:c r="F160" s="20"/>
      <x:c r="G160" s="20"/>
      <x:c r="H160" s="20"/>
      <x:c r="I160" s="20"/>
      <x:c r="J160" s="20"/>
      <x:c r="K160" s="20"/>
      <x:c r="L160" s="20"/>
      <x:c r="M160" s="23"/>
      <x:c r="N160" s="23"/>
      <x:c r="O160" s="20"/>
      <x:c r="P160" s="20"/>
      <x:c r="Q160" s="23"/>
      <x:c r="R160" s="20"/>
      <x:c r="S160" s="23"/>
    </x:row>
    <x:row r="161">
      <x:c r="A161" s="20"/>
      <x:c r="B161" s="20"/>
      <x:c r="C161" s="20"/>
      <x:c r="D161" s="20"/>
      <x:c r="E161" s="20"/>
      <x:c r="F161" s="20"/>
      <x:c r="G161" s="20"/>
      <x:c r="H161" s="20"/>
      <x:c r="I161" s="20"/>
      <x:c r="J161" s="20"/>
      <x:c r="K161" s="20"/>
      <x:c r="L161" s="20"/>
      <x:c r="M161" s="23"/>
      <x:c r="N161" s="23"/>
      <x:c r="O161" s="20"/>
      <x:c r="P161" s="20"/>
      <x:c r="Q161" s="23"/>
      <x:c r="R161" s="20"/>
      <x:c r="S161" s="23"/>
    </x:row>
    <x:row r="162">
      <x:c r="A162" s="20"/>
      <x:c r="B162" s="20"/>
      <x:c r="C162" s="20"/>
      <x:c r="D162" s="20"/>
      <x:c r="E162" s="20"/>
      <x:c r="F162" s="20"/>
      <x:c r="G162" s="20"/>
      <x:c r="H162" s="20"/>
      <x:c r="I162" s="20"/>
      <x:c r="J162" s="20"/>
      <x:c r="K162" s="20"/>
      <x:c r="L162" s="20"/>
      <x:c r="M162" s="23"/>
      <x:c r="N162" s="23"/>
      <x:c r="O162" s="20"/>
      <x:c r="P162" s="20"/>
      <x:c r="Q162" s="23"/>
      <x:c r="R162" s="20"/>
      <x:c r="S162" s="23"/>
    </x:row>
    <x:row r="163">
      <x:c r="A163" s="20"/>
      <x:c r="B163" s="20"/>
      <x:c r="C163" s="20"/>
      <x:c r="D163" s="20"/>
      <x:c r="E163" s="20"/>
      <x:c r="F163" s="20"/>
      <x:c r="G163" s="20"/>
      <x:c r="H163" s="20"/>
      <x:c r="I163" s="20"/>
      <x:c r="J163" s="20"/>
      <x:c r="K163" s="20"/>
      <x:c r="L163" s="20"/>
      <x:c r="M163" s="23"/>
      <x:c r="N163" s="23"/>
      <x:c r="O163" s="20"/>
      <x:c r="P163" s="20"/>
      <x:c r="Q163" s="23"/>
      <x:c r="R163" s="20"/>
      <x:c r="S163" s="23"/>
    </x:row>
    <x:row r="164">
      <x:c r="A164" s="20"/>
      <x:c r="B164" s="20"/>
      <x:c r="C164" s="20"/>
      <x:c r="D164" s="20"/>
      <x:c r="E164" s="20"/>
      <x:c r="F164" s="20"/>
      <x:c r="G164" s="20"/>
      <x:c r="H164" s="20"/>
      <x:c r="I164" s="20"/>
      <x:c r="J164" s="20"/>
      <x:c r="K164" s="20"/>
      <x:c r="L164" s="20"/>
      <x:c r="M164" s="23"/>
      <x:c r="N164" s="23"/>
      <x:c r="O164" s="20"/>
      <x:c r="P164" s="20"/>
      <x:c r="Q164" s="23"/>
      <x:c r="R164" s="20"/>
      <x:c r="S164" s="23"/>
    </x:row>
    <x:row r="165">
      <x:c r="A165" s="20"/>
      <x:c r="B165" s="20"/>
      <x:c r="C165" s="20"/>
      <x:c r="D165" s="20"/>
      <x:c r="E165" s="20"/>
      <x:c r="F165" s="20"/>
      <x:c r="G165" s="20"/>
      <x:c r="H165" s="20"/>
      <x:c r="I165" s="20"/>
      <x:c r="J165" s="20"/>
      <x:c r="K165" s="20"/>
      <x:c r="L165" s="20"/>
      <x:c r="M165" s="23"/>
      <x:c r="N165" s="23"/>
      <x:c r="O165" s="20"/>
      <x:c r="P165" s="20"/>
      <x:c r="Q165" s="23"/>
      <x:c r="R165" s="20"/>
      <x:c r="S165" s="23"/>
    </x:row>
    <x:row r="166">
      <x:c r="A166" s="20"/>
      <x:c r="B166" s="20"/>
      <x:c r="C166" s="20"/>
      <x:c r="D166" s="20"/>
      <x:c r="E166" s="20"/>
      <x:c r="F166" s="20"/>
      <x:c r="G166" s="20"/>
      <x:c r="H166" s="20"/>
      <x:c r="I166" s="20"/>
      <x:c r="J166" s="20"/>
      <x:c r="K166" s="20"/>
      <x:c r="L166" s="20"/>
      <x:c r="M166" s="23"/>
      <x:c r="N166" s="23"/>
      <x:c r="O166" s="20"/>
      <x:c r="P166" s="20"/>
      <x:c r="Q166" s="23"/>
      <x:c r="R166" s="20"/>
      <x:c r="S166" s="23"/>
    </x:row>
    <x:row r="167">
      <x:c r="A167" s="20"/>
      <x:c r="B167" s="20"/>
      <x:c r="C167" s="20"/>
      <x:c r="D167" s="20"/>
      <x:c r="E167" s="20"/>
      <x:c r="F167" s="20"/>
      <x:c r="G167" s="20"/>
      <x:c r="H167" s="20"/>
      <x:c r="I167" s="20"/>
      <x:c r="J167" s="20"/>
      <x:c r="K167" s="20"/>
      <x:c r="L167" s="20"/>
      <x:c r="M167" s="23"/>
      <x:c r="N167" s="23"/>
      <x:c r="O167" s="20"/>
      <x:c r="P167" s="20"/>
      <x:c r="Q167" s="23"/>
      <x:c r="R167" s="20"/>
      <x:c r="S167" s="23"/>
    </x:row>
    <x:row r="168">
      <x:c r="A168" s="20"/>
      <x:c r="B168" s="20"/>
      <x:c r="C168" s="20"/>
      <x:c r="D168" s="20"/>
      <x:c r="E168" s="20"/>
      <x:c r="F168" s="20"/>
      <x:c r="G168" s="20"/>
      <x:c r="H168" s="20"/>
      <x:c r="I168" s="20"/>
      <x:c r="J168" s="20"/>
      <x:c r="K168" s="20"/>
      <x:c r="L168" s="20"/>
      <x:c r="M168" s="23"/>
      <x:c r="N168" s="23"/>
      <x:c r="O168" s="20"/>
      <x:c r="P168" s="20"/>
      <x:c r="Q168" s="23"/>
      <x:c r="R168" s="20"/>
      <x:c r="S168" s="23"/>
    </x:row>
    <x:row r="169">
      <x:c r="A169" s="20"/>
      <x:c r="B169" s="20"/>
      <x:c r="C169" s="20"/>
      <x:c r="D169" s="20"/>
      <x:c r="E169" s="20"/>
      <x:c r="F169" s="20"/>
      <x:c r="G169" s="20"/>
      <x:c r="H169" s="20"/>
      <x:c r="I169" s="20"/>
      <x:c r="J169" s="20"/>
      <x:c r="K169" s="20"/>
      <x:c r="L169" s="20"/>
      <x:c r="M169" s="23"/>
      <x:c r="N169" s="23"/>
      <x:c r="O169" s="20"/>
      <x:c r="P169" s="20"/>
      <x:c r="Q169" s="23"/>
      <x:c r="R169" s="20"/>
      <x:c r="S169" s="23"/>
    </x:row>
    <x:row r="170">
      <x:c r="A170" s="20"/>
      <x:c r="B170" s="20"/>
      <x:c r="C170" s="20"/>
      <x:c r="D170" s="20"/>
      <x:c r="E170" s="20"/>
      <x:c r="F170" s="20"/>
      <x:c r="G170" s="20"/>
      <x:c r="H170" s="20"/>
      <x:c r="I170" s="20"/>
      <x:c r="J170" s="20"/>
      <x:c r="K170" s="20"/>
      <x:c r="L170" s="20"/>
      <x:c r="M170" s="23"/>
      <x:c r="N170" s="23"/>
      <x:c r="O170" s="20"/>
      <x:c r="P170" s="20"/>
      <x:c r="Q170" s="23"/>
      <x:c r="R170" s="20"/>
      <x:c r="S170" s="23"/>
    </x:row>
    <x:row r="171">
      <x:c r="A171" s="20"/>
      <x:c r="B171" s="20"/>
      <x:c r="C171" s="20"/>
      <x:c r="D171" s="20"/>
      <x:c r="E171" s="20"/>
      <x:c r="F171" s="20"/>
      <x:c r="G171" s="20"/>
      <x:c r="H171" s="20"/>
      <x:c r="I171" s="20"/>
      <x:c r="J171" s="20"/>
      <x:c r="K171" s="20"/>
      <x:c r="L171" s="20"/>
      <x:c r="M171" s="23"/>
      <x:c r="N171" s="23"/>
      <x:c r="O171" s="20"/>
      <x:c r="P171" s="20"/>
      <x:c r="Q171" s="23"/>
      <x:c r="R171" s="20"/>
      <x:c r="S171" s="23"/>
    </x:row>
    <x:row r="172">
      <x:c r="A172" s="20"/>
      <x:c r="B172" s="20"/>
      <x:c r="C172" s="20"/>
      <x:c r="D172" s="20"/>
      <x:c r="E172" s="20"/>
      <x:c r="F172" s="20"/>
      <x:c r="G172" s="20"/>
      <x:c r="H172" s="20"/>
      <x:c r="I172" s="20"/>
      <x:c r="J172" s="20"/>
      <x:c r="K172" s="20"/>
      <x:c r="L172" s="20"/>
      <x:c r="M172" s="23"/>
      <x:c r="N172" s="23"/>
      <x:c r="O172" s="20"/>
      <x:c r="P172" s="20"/>
      <x:c r="Q172" s="23"/>
      <x:c r="R172" s="20"/>
      <x:c r="S172" s="23"/>
    </x:row>
    <x:row r="173">
      <x:c r="A173" s="20"/>
      <x:c r="B173" s="20"/>
      <x:c r="C173" s="20"/>
      <x:c r="D173" s="20"/>
      <x:c r="E173" s="20"/>
      <x:c r="F173" s="20"/>
      <x:c r="G173" s="20"/>
      <x:c r="H173" s="20"/>
      <x:c r="I173" s="20"/>
      <x:c r="J173" s="20"/>
      <x:c r="K173" s="20"/>
      <x:c r="L173" s="20"/>
      <x:c r="M173" s="23"/>
      <x:c r="N173" s="23"/>
      <x:c r="O173" s="20"/>
      <x:c r="P173" s="20"/>
      <x:c r="Q173" s="23"/>
      <x:c r="R173" s="20"/>
      <x:c r="S173" s="23"/>
    </x:row>
    <x:row r="174">
      <x:c r="A174" s="20"/>
      <x:c r="B174" s="20"/>
      <x:c r="C174" s="20"/>
      <x:c r="D174" s="20"/>
      <x:c r="E174" s="20"/>
      <x:c r="F174" s="20"/>
      <x:c r="G174" s="20"/>
      <x:c r="H174" s="20"/>
      <x:c r="I174" s="20"/>
      <x:c r="J174" s="20"/>
      <x:c r="K174" s="20"/>
      <x:c r="L174" s="20"/>
      <x:c r="M174" s="23"/>
      <x:c r="N174" s="23"/>
      <x:c r="O174" s="20"/>
      <x:c r="P174" s="20"/>
      <x:c r="Q174" s="23"/>
      <x:c r="R174" s="20"/>
      <x:c r="S174" s="23"/>
    </x:row>
    <x:row r="175">
      <x:c r="A175" s="20"/>
      <x:c r="B175" s="20"/>
      <x:c r="C175" s="20"/>
      <x:c r="D175" s="20"/>
      <x:c r="E175" s="20"/>
      <x:c r="F175" s="20"/>
      <x:c r="G175" s="20"/>
      <x:c r="H175" s="20"/>
      <x:c r="I175" s="20"/>
      <x:c r="J175" s="20"/>
      <x:c r="K175" s="20"/>
      <x:c r="L175" s="20"/>
      <x:c r="M175" s="23"/>
      <x:c r="N175" s="23"/>
      <x:c r="O175" s="20"/>
      <x:c r="P175" s="20"/>
      <x:c r="Q175" s="23"/>
      <x:c r="R175" s="20"/>
      <x:c r="S175" s="23"/>
    </x:row>
    <x:row r="176">
      <x:c r="A176" s="20"/>
      <x:c r="B176" s="20"/>
      <x:c r="C176" s="20"/>
      <x:c r="D176" s="20"/>
      <x:c r="E176" s="20"/>
      <x:c r="F176" s="20"/>
      <x:c r="G176" s="20"/>
      <x:c r="H176" s="20"/>
      <x:c r="I176" s="20"/>
      <x:c r="J176" s="20"/>
      <x:c r="K176" s="20"/>
      <x:c r="L176" s="20"/>
      <x:c r="M176" s="23"/>
      <x:c r="N176" s="23"/>
      <x:c r="O176" s="20"/>
      <x:c r="P176" s="20"/>
      <x:c r="Q176" s="23"/>
      <x:c r="R176" s="20"/>
      <x:c r="S176" s="23"/>
    </x:row>
    <x:row r="177">
      <x:c r="A177" s="20"/>
      <x:c r="B177" s="20"/>
      <x:c r="C177" s="20"/>
      <x:c r="D177" s="20"/>
      <x:c r="E177" s="20"/>
      <x:c r="F177" s="20"/>
      <x:c r="G177" s="20"/>
      <x:c r="H177" s="20"/>
      <x:c r="I177" s="20"/>
      <x:c r="J177" s="20"/>
      <x:c r="K177" s="20"/>
      <x:c r="L177" s="20"/>
      <x:c r="M177" s="23"/>
      <x:c r="N177" s="23"/>
      <x:c r="O177" s="20"/>
      <x:c r="P177" s="20"/>
      <x:c r="Q177" s="23"/>
      <x:c r="R177" s="20"/>
      <x:c r="S177" s="23"/>
    </x:row>
    <x:row r="178">
      <x:c r="A178" s="20"/>
      <x:c r="B178" s="20"/>
      <x:c r="C178" s="20"/>
      <x:c r="D178" s="20"/>
      <x:c r="E178" s="20"/>
      <x:c r="F178" s="20"/>
      <x:c r="G178" s="20"/>
      <x:c r="H178" s="20"/>
      <x:c r="I178" s="20"/>
      <x:c r="J178" s="20"/>
      <x:c r="K178" s="20"/>
      <x:c r="L178" s="20"/>
      <x:c r="M178" s="23"/>
      <x:c r="N178" s="23"/>
      <x:c r="O178" s="20"/>
      <x:c r="P178" s="20"/>
      <x:c r="Q178" s="23"/>
      <x:c r="R178" s="20"/>
      <x:c r="S178" s="23"/>
    </x:row>
    <x:row r="179">
      <x:c r="A179" s="20"/>
      <x:c r="B179" s="20"/>
      <x:c r="C179" s="20"/>
      <x:c r="D179" s="20"/>
      <x:c r="E179" s="20"/>
      <x:c r="F179" s="20"/>
      <x:c r="G179" s="20"/>
      <x:c r="H179" s="20"/>
      <x:c r="I179" s="20"/>
      <x:c r="J179" s="20"/>
      <x:c r="K179" s="20"/>
      <x:c r="L179" s="20"/>
      <x:c r="M179" s="23"/>
      <x:c r="N179" s="23"/>
      <x:c r="O179" s="20"/>
      <x:c r="P179" s="20"/>
      <x:c r="Q179" s="23"/>
      <x:c r="R179" s="20"/>
      <x:c r="S179" s="23"/>
    </x:row>
    <x:row r="180">
      <x:c r="A180" s="20"/>
      <x:c r="B180" s="20"/>
      <x:c r="C180" s="20"/>
      <x:c r="D180" s="20"/>
      <x:c r="E180" s="20"/>
      <x:c r="F180" s="20"/>
      <x:c r="G180" s="20"/>
      <x:c r="H180" s="20"/>
      <x:c r="I180" s="20"/>
      <x:c r="J180" s="20"/>
      <x:c r="K180" s="20"/>
      <x:c r="L180" s="20"/>
      <x:c r="M180" s="23"/>
      <x:c r="N180" s="23"/>
      <x:c r="O180" s="20"/>
      <x:c r="P180" s="20"/>
      <x:c r="Q180" s="23"/>
      <x:c r="R180" s="20"/>
      <x:c r="S180" s="23"/>
    </x:row>
    <x:row r="181">
      <x:c r="A181" s="20"/>
      <x:c r="B181" s="20"/>
      <x:c r="C181" s="20"/>
      <x:c r="D181" s="20"/>
      <x:c r="E181" s="20"/>
      <x:c r="F181" s="20"/>
      <x:c r="G181" s="20"/>
      <x:c r="H181" s="20"/>
      <x:c r="I181" s="20"/>
      <x:c r="J181" s="20"/>
      <x:c r="K181" s="20"/>
      <x:c r="L181" s="20"/>
      <x:c r="M181" s="23"/>
      <x:c r="N181" s="23"/>
      <x:c r="O181" s="20"/>
      <x:c r="P181" s="20"/>
      <x:c r="Q181" s="23"/>
      <x:c r="R181" s="20"/>
      <x:c r="S181" s="23"/>
    </x:row>
    <x:row r="182">
      <x:c r="A182" s="20"/>
      <x:c r="B182" s="20"/>
      <x:c r="C182" s="20"/>
      <x:c r="D182" s="20"/>
      <x:c r="E182" s="20"/>
      <x:c r="F182" s="20"/>
      <x:c r="G182" s="20"/>
      <x:c r="H182" s="20"/>
      <x:c r="I182" s="20"/>
      <x:c r="J182" s="20"/>
      <x:c r="K182" s="20"/>
      <x:c r="L182" s="20"/>
      <x:c r="M182" s="23"/>
      <x:c r="N182" s="23"/>
      <x:c r="O182" s="20"/>
      <x:c r="P182" s="20"/>
      <x:c r="Q182" s="23"/>
      <x:c r="R182" s="20"/>
      <x:c r="S182" s="23"/>
    </x:row>
    <x:row r="183">
      <x:c r="A183" s="20"/>
      <x:c r="B183" s="20"/>
      <x:c r="C183" s="20"/>
      <x:c r="D183" s="20"/>
      <x:c r="E183" s="20"/>
      <x:c r="F183" s="20"/>
      <x:c r="G183" s="20"/>
      <x:c r="H183" s="20"/>
      <x:c r="I183" s="20"/>
      <x:c r="J183" s="20"/>
      <x:c r="K183" s="20"/>
      <x:c r="L183" s="20"/>
      <x:c r="M183" s="23"/>
      <x:c r="N183" s="23"/>
      <x:c r="O183" s="20"/>
      <x:c r="P183" s="20"/>
      <x:c r="Q183" s="23"/>
      <x:c r="R183" s="20"/>
      <x:c r="S183" s="23"/>
    </x:row>
    <x:row r="184">
      <x:c r="A184" s="20"/>
      <x:c r="B184" s="20"/>
      <x:c r="C184" s="20"/>
      <x:c r="D184" s="20"/>
      <x:c r="E184" s="20"/>
      <x:c r="F184" s="20"/>
      <x:c r="G184" s="20"/>
      <x:c r="H184" s="20"/>
      <x:c r="I184" s="20"/>
      <x:c r="J184" s="20"/>
      <x:c r="K184" s="20"/>
      <x:c r="L184" s="20"/>
      <x:c r="M184" s="23"/>
      <x:c r="N184" s="23"/>
      <x:c r="O184" s="20"/>
      <x:c r="P184" s="20"/>
      <x:c r="Q184" s="23"/>
      <x:c r="R184" s="20"/>
      <x:c r="S184" s="23"/>
    </x:row>
    <x:row r="185">
      <x:c r="A185" s="20"/>
      <x:c r="B185" s="20"/>
      <x:c r="C185" s="20"/>
      <x:c r="D185" s="20"/>
      <x:c r="E185" s="20"/>
      <x:c r="F185" s="20"/>
      <x:c r="G185" s="20"/>
      <x:c r="H185" s="20"/>
      <x:c r="I185" s="20"/>
      <x:c r="J185" s="20"/>
      <x:c r="K185" s="20"/>
      <x:c r="L185" s="20"/>
      <x:c r="M185" s="23"/>
      <x:c r="N185" s="23"/>
      <x:c r="O185" s="20"/>
      <x:c r="P185" s="20"/>
      <x:c r="Q185" s="23"/>
      <x:c r="R185" s="20"/>
      <x:c r="S185" s="23"/>
    </x:row>
    <x:row r="186">
      <x:c r="A186" s="20"/>
      <x:c r="B186" s="20"/>
      <x:c r="C186" s="20"/>
      <x:c r="D186" s="20"/>
      <x:c r="E186" s="20"/>
      <x:c r="F186" s="20"/>
      <x:c r="G186" s="20"/>
      <x:c r="H186" s="20"/>
      <x:c r="I186" s="20"/>
      <x:c r="J186" s="20"/>
      <x:c r="K186" s="20"/>
      <x:c r="L186" s="20"/>
      <x:c r="M186" s="23"/>
      <x:c r="N186" s="23"/>
      <x:c r="O186" s="20"/>
      <x:c r="P186" s="20"/>
      <x:c r="Q186" s="23"/>
      <x:c r="R186" s="20"/>
      <x:c r="S186" s="23"/>
    </x:row>
    <x:row r="187">
      <x:c r="A187" s="20"/>
      <x:c r="B187" s="20"/>
      <x:c r="C187" s="20"/>
      <x:c r="D187" s="20"/>
      <x:c r="E187" s="20"/>
      <x:c r="F187" s="20"/>
      <x:c r="G187" s="20"/>
      <x:c r="H187" s="20"/>
      <x:c r="I187" s="20"/>
      <x:c r="J187" s="20"/>
      <x:c r="K187" s="20"/>
      <x:c r="L187" s="20"/>
      <x:c r="M187" s="23"/>
      <x:c r="N187" s="23"/>
      <x:c r="O187" s="20"/>
      <x:c r="P187" s="20"/>
      <x:c r="Q187" s="23"/>
      <x:c r="R187" s="20"/>
      <x:c r="S187" s="23"/>
    </x:row>
    <x:row r="188">
      <x:c r="A188" s="20"/>
      <x:c r="B188" s="20"/>
      <x:c r="C188" s="20"/>
      <x:c r="D188" s="20"/>
      <x:c r="E188" s="20"/>
      <x:c r="F188" s="20"/>
      <x:c r="G188" s="20"/>
      <x:c r="H188" s="20"/>
      <x:c r="I188" s="20"/>
      <x:c r="J188" s="20"/>
      <x:c r="K188" s="20"/>
      <x:c r="L188" s="20"/>
      <x:c r="M188" s="23"/>
      <x:c r="N188" s="23"/>
      <x:c r="O188" s="20"/>
      <x:c r="P188" s="20"/>
      <x:c r="Q188" s="23"/>
      <x:c r="R188" s="20"/>
      <x:c r="S188" s="23"/>
    </x:row>
    <x:row r="189">
      <x:c r="A189" s="20"/>
      <x:c r="B189" s="20"/>
      <x:c r="C189" s="20"/>
      <x:c r="D189" s="20"/>
      <x:c r="E189" s="20"/>
      <x:c r="F189" s="20"/>
      <x:c r="G189" s="20"/>
      <x:c r="H189" s="20"/>
      <x:c r="I189" s="20"/>
      <x:c r="J189" s="20"/>
      <x:c r="K189" s="20"/>
      <x:c r="L189" s="20"/>
      <x:c r="M189" s="23"/>
      <x:c r="N189" s="23"/>
      <x:c r="O189" s="20"/>
      <x:c r="P189" s="20"/>
      <x:c r="Q189" s="23"/>
      <x:c r="R189" s="20"/>
      <x:c r="S189" s="23"/>
    </x:row>
    <x:row r="190">
      <x:c r="A190" s="20"/>
      <x:c r="B190" s="20"/>
      <x:c r="C190" s="20"/>
      <x:c r="D190" s="20"/>
      <x:c r="E190" s="20"/>
      <x:c r="F190" s="20"/>
      <x:c r="G190" s="20"/>
      <x:c r="H190" s="20"/>
      <x:c r="I190" s="20"/>
      <x:c r="J190" s="20"/>
      <x:c r="K190" s="20"/>
      <x:c r="L190" s="20"/>
      <x:c r="M190" s="23"/>
      <x:c r="N190" s="23"/>
      <x:c r="O190" s="20"/>
      <x:c r="P190" s="20"/>
      <x:c r="Q190" s="23"/>
      <x:c r="R190" s="20"/>
      <x:c r="S190" s="23"/>
    </x:row>
    <x:row r="191">
      <x:c r="A191" s="20"/>
      <x:c r="B191" s="20"/>
      <x:c r="C191" s="20"/>
      <x:c r="D191" s="20"/>
      <x:c r="E191" s="20"/>
      <x:c r="F191" s="20"/>
      <x:c r="G191" s="20"/>
      <x:c r="H191" s="20"/>
      <x:c r="I191" s="20"/>
      <x:c r="J191" s="20"/>
      <x:c r="K191" s="20"/>
      <x:c r="L191" s="20"/>
      <x:c r="M191" s="23"/>
      <x:c r="N191" s="23"/>
      <x:c r="O191" s="20"/>
      <x:c r="P191" s="20"/>
      <x:c r="Q191" s="23"/>
      <x:c r="R191" s="20"/>
      <x:c r="S191" s="23"/>
    </x:row>
    <x:row r="192">
      <x:c r="A192" s="20"/>
      <x:c r="B192" s="20"/>
      <x:c r="C192" s="20"/>
      <x:c r="D192" s="20"/>
      <x:c r="E192" s="20"/>
      <x:c r="F192" s="20"/>
      <x:c r="G192" s="20"/>
      <x:c r="H192" s="20"/>
      <x:c r="I192" s="20"/>
      <x:c r="J192" s="20"/>
      <x:c r="K192" s="20"/>
      <x:c r="L192" s="20"/>
      <x:c r="M192" s="23"/>
      <x:c r="N192" s="23"/>
      <x:c r="O192" s="20"/>
      <x:c r="P192" s="20"/>
      <x:c r="Q192" s="23"/>
      <x:c r="R192" s="20"/>
      <x:c r="S192" s="23"/>
    </x:row>
    <x:row r="193">
      <x:c r="A193" s="20"/>
      <x:c r="B193" s="20"/>
      <x:c r="C193" s="20"/>
      <x:c r="D193" s="20"/>
      <x:c r="E193" s="20"/>
      <x:c r="F193" s="20"/>
      <x:c r="G193" s="20"/>
      <x:c r="H193" s="20"/>
      <x:c r="I193" s="20"/>
      <x:c r="J193" s="20"/>
      <x:c r="K193" s="20"/>
      <x:c r="L193" s="20"/>
      <x:c r="M193" s="23"/>
      <x:c r="N193" s="23"/>
      <x:c r="O193" s="20"/>
      <x:c r="P193" s="20"/>
      <x:c r="Q193" s="23"/>
      <x:c r="R193" s="20"/>
      <x:c r="S193" s="23"/>
    </x:row>
    <x:row r="194">
      <x:c r="A194" s="20"/>
      <x:c r="B194" s="20"/>
      <x:c r="C194" s="20"/>
      <x:c r="D194" s="20"/>
      <x:c r="E194" s="20"/>
      <x:c r="F194" s="20"/>
      <x:c r="G194" s="20"/>
      <x:c r="H194" s="20"/>
      <x:c r="I194" s="20"/>
      <x:c r="J194" s="20"/>
      <x:c r="K194" s="20"/>
      <x:c r="L194" s="20"/>
      <x:c r="M194" s="23"/>
      <x:c r="N194" s="23"/>
      <x:c r="O194" s="20"/>
      <x:c r="P194" s="20"/>
      <x:c r="Q194" s="23"/>
      <x:c r="R194" s="20"/>
      <x:c r="S194" s="23"/>
    </x:row>
    <x:row r="195">
      <x:c r="A195" s="20"/>
      <x:c r="B195" s="20"/>
      <x:c r="C195" s="20"/>
      <x:c r="D195" s="20"/>
      <x:c r="E195" s="20"/>
      <x:c r="F195" s="20"/>
      <x:c r="G195" s="20"/>
      <x:c r="H195" s="20"/>
      <x:c r="I195" s="20"/>
      <x:c r="J195" s="20"/>
      <x:c r="K195" s="20"/>
      <x:c r="L195" s="20"/>
      <x:c r="M195" s="23"/>
      <x:c r="N195" s="23"/>
      <x:c r="O195" s="20"/>
      <x:c r="P195" s="20"/>
      <x:c r="Q195" s="23"/>
      <x:c r="R195" s="20"/>
      <x:c r="S195" s="23"/>
    </x:row>
    <x:row r="196">
      <x:c r="A196" s="20"/>
      <x:c r="B196" s="20"/>
      <x:c r="C196" s="20"/>
      <x:c r="D196" s="20"/>
      <x:c r="E196" s="20"/>
      <x:c r="F196" s="20"/>
      <x:c r="G196" s="20"/>
      <x:c r="H196" s="20"/>
      <x:c r="I196" s="20"/>
      <x:c r="J196" s="20"/>
      <x:c r="K196" s="20"/>
      <x:c r="L196" s="20"/>
      <x:c r="M196" s="23"/>
      <x:c r="N196" s="23"/>
      <x:c r="O196" s="20"/>
      <x:c r="P196" s="20"/>
      <x:c r="Q196" s="23"/>
      <x:c r="R196" s="20"/>
      <x:c r="S196" s="23"/>
    </x:row>
    <x:row r="197">
      <x:c r="A197" s="20"/>
      <x:c r="B197" s="20"/>
      <x:c r="C197" s="20"/>
      <x:c r="D197" s="20"/>
      <x:c r="E197" s="20"/>
      <x:c r="F197" s="20"/>
      <x:c r="G197" s="20"/>
      <x:c r="H197" s="20"/>
      <x:c r="I197" s="20"/>
      <x:c r="J197" s="20"/>
      <x:c r="K197" s="20"/>
      <x:c r="L197" s="20"/>
      <x:c r="M197" s="23"/>
      <x:c r="N197" s="23"/>
      <x:c r="O197" s="20"/>
      <x:c r="P197" s="20"/>
      <x:c r="Q197" s="23"/>
      <x:c r="R197" s="20"/>
      <x:c r="S197" s="23"/>
    </x:row>
    <x:row r="198">
      <x:c r="A198" s="20"/>
      <x:c r="B198" s="20"/>
      <x:c r="C198" s="20"/>
      <x:c r="D198" s="20"/>
      <x:c r="E198" s="20"/>
      <x:c r="F198" s="20"/>
      <x:c r="G198" s="20"/>
      <x:c r="H198" s="20"/>
      <x:c r="I198" s="20"/>
      <x:c r="J198" s="20"/>
      <x:c r="K198" s="20"/>
      <x:c r="L198" s="20"/>
      <x:c r="M198" s="23"/>
      <x:c r="N198" s="23"/>
      <x:c r="O198" s="20"/>
      <x:c r="P198" s="20"/>
      <x:c r="Q198" s="23"/>
      <x:c r="R198" s="20"/>
      <x:c r="S198" s="23"/>
    </x:row>
    <x:row r="199">
      <x:c r="A199" s="20"/>
      <x:c r="B199" s="20"/>
      <x:c r="C199" s="20"/>
      <x:c r="D199" s="20"/>
      <x:c r="E199" s="20"/>
      <x:c r="F199" s="20"/>
      <x:c r="G199" s="20"/>
      <x:c r="H199" s="20"/>
      <x:c r="I199" s="20"/>
      <x:c r="J199" s="20"/>
      <x:c r="K199" s="20"/>
      <x:c r="L199" s="20"/>
      <x:c r="M199" s="23"/>
      <x:c r="N199" s="23"/>
      <x:c r="O199" s="20"/>
      <x:c r="P199" s="20"/>
      <x:c r="Q199" s="23"/>
      <x:c r="R199" s="20"/>
      <x:c r="S199" s="23"/>
    </x:row>
    <x:row r="200">
      <x:c r="A200" s="20"/>
      <x:c r="B200" s="20"/>
      <x:c r="C200" s="20"/>
      <x:c r="D200" s="20"/>
      <x:c r="E200" s="20"/>
      <x:c r="F200" s="20"/>
      <x:c r="G200" s="20"/>
      <x:c r="H200" s="20"/>
      <x:c r="I200" s="20"/>
      <x:c r="J200" s="20"/>
      <x:c r="K200" s="20"/>
      <x:c r="L200" s="20"/>
      <x:c r="M200" s="23"/>
      <x:c r="N200" s="23"/>
      <x:c r="O200" s="20"/>
      <x:c r="P200" s="20"/>
      <x:c r="Q200" s="23"/>
      <x:c r="R200" s="20"/>
      <x:c r="S200" s="23"/>
    </x:row>
    <x:row r="201">
      <x:c r="A201" s="20"/>
      <x:c r="B201" s="20"/>
      <x:c r="C201" s="20"/>
      <x:c r="D201" s="20"/>
      <x:c r="E201" s="20"/>
      <x:c r="F201" s="20"/>
      <x:c r="G201" s="20"/>
      <x:c r="H201" s="20"/>
      <x:c r="I201" s="20"/>
      <x:c r="J201" s="20"/>
      <x:c r="K201" s="20"/>
      <x:c r="L201" s="20"/>
      <x:c r="M201" s="23"/>
      <x:c r="N201" s="23"/>
      <x:c r="O201" s="20"/>
      <x:c r="P201" s="20"/>
      <x:c r="Q201" s="23"/>
      <x:c r="R201" s="20"/>
      <x:c r="S201" s="23"/>
    </x:row>
    <x:row r="202">
      <x:c r="A202" s="20"/>
      <x:c r="B202" s="20"/>
      <x:c r="C202" s="20"/>
      <x:c r="D202" s="20"/>
      <x:c r="E202" s="20"/>
      <x:c r="F202" s="20"/>
      <x:c r="G202" s="20"/>
      <x:c r="H202" s="20"/>
      <x:c r="I202" s="20"/>
      <x:c r="J202" s="20"/>
      <x:c r="K202" s="20"/>
      <x:c r="L202" s="20"/>
      <x:c r="M202" s="23"/>
      <x:c r="N202" s="23"/>
      <x:c r="O202" s="20"/>
      <x:c r="P202" s="20"/>
      <x:c r="Q202" s="23"/>
      <x:c r="R202" s="20"/>
      <x:c r="S202" s="23"/>
    </x:row>
    <x:row r="203">
      <x:c r="A203" s="20"/>
      <x:c r="B203" s="20"/>
      <x:c r="C203" s="20"/>
      <x:c r="D203" s="20"/>
      <x:c r="E203" s="20"/>
      <x:c r="F203" s="20"/>
      <x:c r="G203" s="20"/>
      <x:c r="H203" s="20"/>
      <x:c r="I203" s="20"/>
      <x:c r="J203" s="20"/>
      <x:c r="K203" s="20"/>
      <x:c r="L203" s="20"/>
      <x:c r="M203" s="23"/>
      <x:c r="N203" s="23"/>
      <x:c r="O203" s="20"/>
      <x:c r="P203" s="20"/>
      <x:c r="Q203" s="23"/>
      <x:c r="R203" s="20"/>
      <x:c r="S203" s="23"/>
    </x:row>
    <x:row r="204">
      <x:c r="A204" s="21"/>
      <x:c r="B204" s="21"/>
      <x:c r="C204" s="21"/>
      <x:c r="D204" s="21"/>
      <x:c r="E204" s="21"/>
      <x:c r="F204" s="21"/>
      <x:c r="G204" s="21"/>
      <x:c r="H204" s="21"/>
      <x:c r="I204" s="21"/>
      <x:c r="J204" s="21"/>
      <x:c r="K204" s="21"/>
      <x:c r="L204" s="21"/>
      <x:c r="M204" s="24"/>
      <x:c r="N204" s="24"/>
      <x:c r="O204" s="21"/>
      <x:c r="P204" s="21"/>
      <x:c r="Q204" s="24"/>
      <x:c r="R204" s="21"/>
      <x:c r="S204" s="24"/>
    </x:row>
  </x:sheetData>
  <x:mergeCells>
    <x:mergeCell ref="A1:S1"/>
    <x:mergeCell ref="A2:S2"/>
  </x:mergeCells>
  <x:conditionalFormatting sqref="A5:S204">
    <x:cfRule type="expression" dxfId="6" priority="1">
      <x:formula>OR($K5="Open",$K5="Blocked",$K5="Failed",$K5="Rejected",$K5="Not Authorised")</x:formula>
    </x:cfRule>
    <x:cfRule type="expression" dxfId="7" priority="2">
      <x:formula>OR($K5="Approved",$K5="Passed",$K5="Closed",$K5="Authorised")</x:formula>
    </x:cfRule>
    <x:cfRule type="expression" dxfId="8" priority="3">
      <x:formula>OR($K5="Pending",$K5="In Progress",$K5="Investigating",$K5="Conditional")</x:formula>
    </x:cfRule>
  </x:conditionalFormatting>
  <x:dataValidations count="3">
    <x:dataValidation type="list" sqref="B5:B204">
      <x:formula1>"Platform,Client,Event,Release Candidate,Capability,Region"</x:formula1>
    </x:dataValidation>
    <x:dataValidation type="list" sqref="K5:K204">
      <x:formula1>"Proposed,Under Review,Approved,Rejected,Superseded"</x:formula1>
    </x:dataValidation>
    <x:dataValidation type="list" sqref="R5:R204">
      <x:formula1>"Internal,Restricted,Highly Restricted"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c78eca667da4a1e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34" hidden="0" customWidth="1"/>
    <x:col min="6" max="6" width="28" hidden="0" customWidth="1"/>
    <x:col min="7" max="7" width="12" hidden="0" customWidth="1"/>
    <x:col min="8" max="8" width="18" hidden="0" customWidth="1"/>
    <x:col min="9" max="9" width="14" hidden="0" customWidth="1"/>
    <x:col min="10" max="10" width="14" hidden="0" customWidth="1"/>
    <x:col min="11" max="11" width="14" hidden="0" customWidth="1"/>
    <x:col min="12" max="12" width="12" hidden="0" customWidth="1"/>
    <x:col min="13" max="13" width="16" hidden="0" customWidth="1"/>
    <x:col min="14" max="14" width="34" hidden="0" customWidth="1"/>
    <x:col min="15" max="15" width="14" hidden="0" customWidth="1"/>
    <x:col min="16" max="16" width="18" hidden="0" customWidth="1"/>
    <x:col min="17" max="17" width="14" hidden="0" customWidth="1"/>
    <x:col min="18" max="18" width="12" hidden="0" customWidth="1"/>
    <x:col min="19" max="19" width="12" hidden="0" customWidth="1"/>
  </x:cols>
  <x:sheetData>
    <x:row r="1" ht="34" customHeight="1">
      <x:c r="A1" s="3" t="str">
        <x:v>OPEN QUESTIONS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</x:row>
    <x:row r="2" ht="28" customHeight="1">
      <x:c r="A2" s="7" t="str">
        <x:v>Unresolved matters that can change scope, design, safety or release readiness.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  <x:c r="R2" s="7"/>
      <x:c r="S2" s="7"/>
    </x:row>
    <x:row r="4" ht="32" customHeight="1">
      <x:c r="A4" s="12" t="str">
        <x:v>Question ID*</x:v>
      </x:c>
      <x:c r="B4" s="12" t="str">
        <x:v>Candidate ID</x:v>
      </x:c>
      <x:c r="C4" s="12" t="str">
        <x:v>Scope Type*</x:v>
      </x:c>
      <x:c r="D4" s="12" t="str">
        <x:v>Scope ID</x:v>
      </x:c>
      <x:c r="E4" s="12" t="str">
        <x:v>Question*</x:v>
      </x:c>
      <x:c r="F4" s="12" t="str">
        <x:v>Why It Matters*</x:v>
      </x:c>
      <x:c r="G4" s="12" t="str">
        <x:v>Priority*</x:v>
      </x:c>
      <x:c r="H4" s="12" t="str">
        <x:v>Owner*</x:v>
      </x:c>
      <x:c r="I4" s="12" t="str">
        <x:v>Raised Date*</x:v>
      </x:c>
      <x:c r="J4" s="12" t="str">
        <x:v>Due Date*</x:v>
      </x:c>
      <x:c r="K4" s="12" t="str">
        <x:v>Status*</x:v>
      </x:c>
      <x:c r="L4" s="12" t="str">
        <x:v>Blocking?*</x:v>
      </x:c>
      <x:c r="M4" s="12" t="str">
        <x:v>Decision ID</x:v>
      </x:c>
      <x:c r="N4" s="12" t="str">
        <x:v>Answer / Resolution</x:v>
      </x:c>
      <x:c r="O4" s="12" t="str">
        <x:v>Resolved Date</x:v>
      </x:c>
      <x:c r="P4" s="12" t="str">
        <x:v>Escalated To</x:v>
      </x:c>
      <x:c r="Q4" s="12" t="str">
        <x:v>Last Updated*</x:v>
      </x:c>
      <x:c r="R4" s="12" t="str">
        <x:v>Age (days)</x:v>
      </x:c>
      <x:c r="S4" s="12" t="str">
        <x:v>Overdue?</x:v>
      </x:c>
    </x:row>
    <x:row r="5">
      <x:c r="A5" s="19"/>
      <x:c r="B5" s="19"/>
      <x:c r="C5" s="19"/>
      <x:c r="D5" s="19"/>
      <x:c r="E5" s="19"/>
      <x:c r="F5" s="19"/>
      <x:c r="G5" s="19"/>
      <x:c r="H5" s="19"/>
      <x:c r="I5" s="22"/>
      <x:c r="J5" s="22"/>
      <x:c r="K5" s="19"/>
      <x:c r="L5" s="19"/>
      <x:c r="M5" s="19"/>
      <x:c r="N5" s="19"/>
      <x:c r="O5" s="22"/>
      <x:c r="P5" s="19"/>
      <x:c r="Q5" s="22"/>
      <x:c r="R5" s="19" t="str">
        <x:f>IF(A5="","",TODAY()-I5)</x:f>
      </x:c>
      <x:c r="S5" s="19" t="str">
        <x:f>IF(A5="","",IF(AND(K5&lt;&gt;"Closed",J5&lt;TODAY()),"YES","NO"))</x:f>
      </x:c>
    </x:row>
    <x:row r="6">
      <x:c r="A6" s="20"/>
      <x:c r="B6" s="20"/>
      <x:c r="C6" s="20"/>
      <x:c r="D6" s="20"/>
      <x:c r="E6" s="20"/>
      <x:c r="F6" s="20"/>
      <x:c r="G6" s="20"/>
      <x:c r="H6" s="20"/>
      <x:c r="I6" s="23"/>
      <x:c r="J6" s="23"/>
      <x:c r="K6" s="20"/>
      <x:c r="L6" s="20"/>
      <x:c r="M6" s="20"/>
      <x:c r="N6" s="20"/>
      <x:c r="O6" s="23"/>
      <x:c r="P6" s="20"/>
      <x:c r="Q6" s="23"/>
      <x:c r="R6" s="20" t="str">
        <x:f>IF(A6="","",TODAY()-I6)</x:f>
      </x:c>
      <x:c r="S6" s="20" t="str">
        <x:f>IF(A6="","",IF(AND(K6&lt;&gt;"Closed",J6&lt;TODAY()),"YES","NO"))</x:f>
      </x:c>
    </x:row>
    <x:row r="7">
      <x:c r="A7" s="20"/>
      <x:c r="B7" s="20"/>
      <x:c r="C7" s="20"/>
      <x:c r="D7" s="20"/>
      <x:c r="E7" s="20"/>
      <x:c r="F7" s="20"/>
      <x:c r="G7" s="20"/>
      <x:c r="H7" s="20"/>
      <x:c r="I7" s="23"/>
      <x:c r="J7" s="23"/>
      <x:c r="K7" s="20"/>
      <x:c r="L7" s="20"/>
      <x:c r="M7" s="20"/>
      <x:c r="N7" s="20"/>
      <x:c r="O7" s="23"/>
      <x:c r="P7" s="20"/>
      <x:c r="Q7" s="23"/>
      <x:c r="R7" s="20" t="str">
        <x:f>IF(A7="","",TODAY()-I7)</x:f>
      </x:c>
      <x:c r="S7" s="20" t="str">
        <x:f>IF(A7="","",IF(AND(K7&lt;&gt;"Closed",J7&lt;TODAY()),"YES","NO"))</x:f>
      </x:c>
    </x:row>
    <x:row r="8">
      <x:c r="A8" s="20"/>
      <x:c r="B8" s="20"/>
      <x:c r="C8" s="20"/>
      <x:c r="D8" s="20"/>
      <x:c r="E8" s="20"/>
      <x:c r="F8" s="20"/>
      <x:c r="G8" s="20"/>
      <x:c r="H8" s="20"/>
      <x:c r="I8" s="23"/>
      <x:c r="J8" s="23"/>
      <x:c r="K8" s="20"/>
      <x:c r="L8" s="20"/>
      <x:c r="M8" s="20"/>
      <x:c r="N8" s="20"/>
      <x:c r="O8" s="23"/>
      <x:c r="P8" s="20"/>
      <x:c r="Q8" s="23"/>
      <x:c r="R8" s="20" t="str">
        <x:f>IF(A8="","",TODAY()-I8)</x:f>
      </x:c>
      <x:c r="S8" s="20" t="str">
        <x:f>IF(A8="","",IF(AND(K8&lt;&gt;"Closed",J8&lt;TODAY()),"YES","NO"))</x:f>
      </x:c>
    </x:row>
    <x:row r="9">
      <x:c r="A9" s="20"/>
      <x:c r="B9" s="20"/>
      <x:c r="C9" s="20"/>
      <x:c r="D9" s="20"/>
      <x:c r="E9" s="20"/>
      <x:c r="F9" s="20"/>
      <x:c r="G9" s="20"/>
      <x:c r="H9" s="20"/>
      <x:c r="I9" s="23"/>
      <x:c r="J9" s="23"/>
      <x:c r="K9" s="20"/>
      <x:c r="L9" s="20"/>
      <x:c r="M9" s="20"/>
      <x:c r="N9" s="20"/>
      <x:c r="O9" s="23"/>
      <x:c r="P9" s="20"/>
      <x:c r="Q9" s="23"/>
      <x:c r="R9" s="20" t="str">
        <x:f>IF(A9="","",TODAY()-I9)</x:f>
      </x:c>
      <x:c r="S9" s="20" t="str">
        <x:f>IF(A9="","",IF(AND(K9&lt;&gt;"Closed",J9&lt;TODAY()),"YES","NO"))</x:f>
      </x:c>
    </x:row>
    <x:row r="10">
      <x:c r="A10" s="20"/>
      <x:c r="B10" s="20"/>
      <x:c r="C10" s="20"/>
      <x:c r="D10" s="20"/>
      <x:c r="E10" s="20"/>
      <x:c r="F10" s="20"/>
      <x:c r="G10" s="20"/>
      <x:c r="H10" s="20"/>
      <x:c r="I10" s="23"/>
      <x:c r="J10" s="23"/>
      <x:c r="K10" s="20"/>
      <x:c r="L10" s="20"/>
      <x:c r="M10" s="20"/>
      <x:c r="N10" s="20"/>
      <x:c r="O10" s="23"/>
      <x:c r="P10" s="20"/>
      <x:c r="Q10" s="23"/>
      <x:c r="R10" s="20" t="str">
        <x:f>IF(A10="","",TODAY()-I10)</x:f>
      </x:c>
      <x:c r="S10" s="20" t="str">
        <x:f>IF(A10="","",IF(AND(K10&lt;&gt;"Closed",J10&lt;TODAY()),"YES","NO"))</x:f>
      </x:c>
    </x:row>
    <x:row r="11">
      <x:c r="A11" s="20"/>
      <x:c r="B11" s="20"/>
      <x:c r="C11" s="20"/>
      <x:c r="D11" s="20"/>
      <x:c r="E11" s="20"/>
      <x:c r="F11" s="20"/>
      <x:c r="G11" s="20"/>
      <x:c r="H11" s="20"/>
      <x:c r="I11" s="23"/>
      <x:c r="J11" s="23"/>
      <x:c r="K11" s="20"/>
      <x:c r="L11" s="20"/>
      <x:c r="M11" s="20"/>
      <x:c r="N11" s="20"/>
      <x:c r="O11" s="23"/>
      <x:c r="P11" s="20"/>
      <x:c r="Q11" s="23"/>
      <x:c r="R11" s="20" t="str">
        <x:f>IF(A11="","",TODAY()-I11)</x:f>
      </x:c>
      <x:c r="S11" s="20" t="str">
        <x:f>IF(A11="","",IF(AND(K11&lt;&gt;"Closed",J11&lt;TODAY()),"YES","NO"))</x:f>
      </x:c>
    </x:row>
    <x:row r="12">
      <x:c r="A12" s="20"/>
      <x:c r="B12" s="20"/>
      <x:c r="C12" s="20"/>
      <x:c r="D12" s="20"/>
      <x:c r="E12" s="20"/>
      <x:c r="F12" s="20"/>
      <x:c r="G12" s="20"/>
      <x:c r="H12" s="20"/>
      <x:c r="I12" s="23"/>
      <x:c r="J12" s="23"/>
      <x:c r="K12" s="20"/>
      <x:c r="L12" s="20"/>
      <x:c r="M12" s="20"/>
      <x:c r="N12" s="20"/>
      <x:c r="O12" s="23"/>
      <x:c r="P12" s="20"/>
      <x:c r="Q12" s="23"/>
      <x:c r="R12" s="20" t="str">
        <x:f>IF(A12="","",TODAY()-I12)</x:f>
      </x:c>
      <x:c r="S12" s="20" t="str">
        <x:f>IF(A12="","",IF(AND(K12&lt;&gt;"Closed",J12&lt;TODAY()),"YES","NO"))</x:f>
      </x:c>
    </x:row>
    <x:row r="13">
      <x:c r="A13" s="20"/>
      <x:c r="B13" s="20"/>
      <x:c r="C13" s="20"/>
      <x:c r="D13" s="20"/>
      <x:c r="E13" s="20"/>
      <x:c r="F13" s="20"/>
      <x:c r="G13" s="20"/>
      <x:c r="H13" s="20"/>
      <x:c r="I13" s="23"/>
      <x:c r="J13" s="23"/>
      <x:c r="K13" s="20"/>
      <x:c r="L13" s="20"/>
      <x:c r="M13" s="20"/>
      <x:c r="N13" s="20"/>
      <x:c r="O13" s="23"/>
      <x:c r="P13" s="20"/>
      <x:c r="Q13" s="23"/>
      <x:c r="R13" s="20" t="str">
        <x:f>IF(A13="","",TODAY()-I13)</x:f>
      </x:c>
      <x:c r="S13" s="20" t="str">
        <x:f>IF(A13="","",IF(AND(K13&lt;&gt;"Closed",J13&lt;TODAY()),"YES","NO"))</x:f>
      </x:c>
    </x:row>
    <x:row r="14">
      <x:c r="A14" s="20"/>
      <x:c r="B14" s="20"/>
      <x:c r="C14" s="20"/>
      <x:c r="D14" s="20"/>
      <x:c r="E14" s="20"/>
      <x:c r="F14" s="20"/>
      <x:c r="G14" s="20"/>
      <x:c r="H14" s="20"/>
      <x:c r="I14" s="23"/>
      <x:c r="J14" s="23"/>
      <x:c r="K14" s="20"/>
      <x:c r="L14" s="20"/>
      <x:c r="M14" s="20"/>
      <x:c r="N14" s="20"/>
      <x:c r="O14" s="23"/>
      <x:c r="P14" s="20"/>
      <x:c r="Q14" s="23"/>
      <x:c r="R14" s="20" t="str">
        <x:f>IF(A14="","",TODAY()-I14)</x:f>
      </x:c>
      <x:c r="S14" s="20" t="str">
        <x:f>IF(A14="","",IF(AND(K14&lt;&gt;"Closed",J14&lt;TODAY()),"YES","NO"))</x:f>
      </x:c>
    </x:row>
    <x:row r="15">
      <x:c r="A15" s="20"/>
      <x:c r="B15" s="20"/>
      <x:c r="C15" s="20"/>
      <x:c r="D15" s="20"/>
      <x:c r="E15" s="20"/>
      <x:c r="F15" s="20"/>
      <x:c r="G15" s="20"/>
      <x:c r="H15" s="20"/>
      <x:c r="I15" s="23"/>
      <x:c r="J15" s="23"/>
      <x:c r="K15" s="20"/>
      <x:c r="L15" s="20"/>
      <x:c r="M15" s="20"/>
      <x:c r="N15" s="20"/>
      <x:c r="O15" s="23"/>
      <x:c r="P15" s="20"/>
      <x:c r="Q15" s="23"/>
      <x:c r="R15" s="20" t="str">
        <x:f>IF(A15="","",TODAY()-I15)</x:f>
      </x:c>
      <x:c r="S15" s="20" t="str">
        <x:f>IF(A15="","",IF(AND(K15&lt;&gt;"Closed",J15&lt;TODAY()),"YES","NO"))</x:f>
      </x:c>
    </x:row>
    <x:row r="16">
      <x:c r="A16" s="20"/>
      <x:c r="B16" s="20"/>
      <x:c r="C16" s="20"/>
      <x:c r="D16" s="20"/>
      <x:c r="E16" s="20"/>
      <x:c r="F16" s="20"/>
      <x:c r="G16" s="20"/>
      <x:c r="H16" s="20"/>
      <x:c r="I16" s="23"/>
      <x:c r="J16" s="23"/>
      <x:c r="K16" s="20"/>
      <x:c r="L16" s="20"/>
      <x:c r="M16" s="20"/>
      <x:c r="N16" s="20"/>
      <x:c r="O16" s="23"/>
      <x:c r="P16" s="20"/>
      <x:c r="Q16" s="23"/>
      <x:c r="R16" s="20" t="str">
        <x:f>IF(A16="","",TODAY()-I16)</x:f>
      </x:c>
      <x:c r="S16" s="20" t="str">
        <x:f>IF(A16="","",IF(AND(K16&lt;&gt;"Closed",J16&lt;TODAY()),"YES","NO"))</x:f>
      </x:c>
    </x:row>
    <x:row r="17">
      <x:c r="A17" s="20"/>
      <x:c r="B17" s="20"/>
      <x:c r="C17" s="20"/>
      <x:c r="D17" s="20"/>
      <x:c r="E17" s="20"/>
      <x:c r="F17" s="20"/>
      <x:c r="G17" s="20"/>
      <x:c r="H17" s="20"/>
      <x:c r="I17" s="23"/>
      <x:c r="J17" s="23"/>
      <x:c r="K17" s="20"/>
      <x:c r="L17" s="20"/>
      <x:c r="M17" s="20"/>
      <x:c r="N17" s="20"/>
      <x:c r="O17" s="23"/>
      <x:c r="P17" s="20"/>
      <x:c r="Q17" s="23"/>
      <x:c r="R17" s="20" t="str">
        <x:f>IF(A17="","",TODAY()-I17)</x:f>
      </x:c>
      <x:c r="S17" s="20" t="str">
        <x:f>IF(A17="","",IF(AND(K17&lt;&gt;"Closed",J17&lt;TODAY()),"YES","NO"))</x:f>
      </x:c>
    </x:row>
    <x:row r="18">
      <x:c r="A18" s="20"/>
      <x:c r="B18" s="20"/>
      <x:c r="C18" s="20"/>
      <x:c r="D18" s="20"/>
      <x:c r="E18" s="20"/>
      <x:c r="F18" s="20"/>
      <x:c r="G18" s="20"/>
      <x:c r="H18" s="20"/>
      <x:c r="I18" s="23"/>
      <x:c r="J18" s="23"/>
      <x:c r="K18" s="20"/>
      <x:c r="L18" s="20"/>
      <x:c r="M18" s="20"/>
      <x:c r="N18" s="20"/>
      <x:c r="O18" s="23"/>
      <x:c r="P18" s="20"/>
      <x:c r="Q18" s="23"/>
      <x:c r="R18" s="20" t="str">
        <x:f>IF(A18="","",TODAY()-I18)</x:f>
      </x:c>
      <x:c r="S18" s="20" t="str">
        <x:f>IF(A18="","",IF(AND(K18&lt;&gt;"Closed",J18&lt;TODAY()),"YES","NO"))</x:f>
      </x:c>
    </x:row>
    <x:row r="19">
      <x:c r="A19" s="20"/>
      <x:c r="B19" s="20"/>
      <x:c r="C19" s="20"/>
      <x:c r="D19" s="20"/>
      <x:c r="E19" s="20"/>
      <x:c r="F19" s="20"/>
      <x:c r="G19" s="20"/>
      <x:c r="H19" s="20"/>
      <x:c r="I19" s="23"/>
      <x:c r="J19" s="23"/>
      <x:c r="K19" s="20"/>
      <x:c r="L19" s="20"/>
      <x:c r="M19" s="20"/>
      <x:c r="N19" s="20"/>
      <x:c r="O19" s="23"/>
      <x:c r="P19" s="20"/>
      <x:c r="Q19" s="23"/>
      <x:c r="R19" s="20" t="str">
        <x:f>IF(A19="","",TODAY()-I19)</x:f>
      </x:c>
      <x:c r="S19" s="20" t="str">
        <x:f>IF(A19="","",IF(AND(K19&lt;&gt;"Closed",J19&lt;TODAY()),"YES","NO"))</x:f>
      </x:c>
    </x:row>
    <x:row r="20">
      <x:c r="A20" s="20"/>
      <x:c r="B20" s="20"/>
      <x:c r="C20" s="20"/>
      <x:c r="D20" s="20"/>
      <x:c r="E20" s="20"/>
      <x:c r="F20" s="20"/>
      <x:c r="G20" s="20"/>
      <x:c r="H20" s="20"/>
      <x:c r="I20" s="23"/>
      <x:c r="J20" s="23"/>
      <x:c r="K20" s="20"/>
      <x:c r="L20" s="20"/>
      <x:c r="M20" s="20"/>
      <x:c r="N20" s="20"/>
      <x:c r="O20" s="23"/>
      <x:c r="P20" s="20"/>
      <x:c r="Q20" s="23"/>
      <x:c r="R20" s="20" t="str">
        <x:f>IF(A20="","",TODAY()-I20)</x:f>
      </x:c>
      <x:c r="S20" s="20" t="str">
        <x:f>IF(A20="","",IF(AND(K20&lt;&gt;"Closed",J20&lt;TODAY()),"YES","NO"))</x:f>
      </x:c>
    </x:row>
    <x:row r="21">
      <x:c r="A21" s="20"/>
      <x:c r="B21" s="20"/>
      <x:c r="C21" s="20"/>
      <x:c r="D21" s="20"/>
      <x:c r="E21" s="20"/>
      <x:c r="F21" s="20"/>
      <x:c r="G21" s="20"/>
      <x:c r="H21" s="20"/>
      <x:c r="I21" s="23"/>
      <x:c r="J21" s="23"/>
      <x:c r="K21" s="20"/>
      <x:c r="L21" s="20"/>
      <x:c r="M21" s="20"/>
      <x:c r="N21" s="20"/>
      <x:c r="O21" s="23"/>
      <x:c r="P21" s="20"/>
      <x:c r="Q21" s="23"/>
      <x:c r="R21" s="20" t="str">
        <x:f>IF(A21="","",TODAY()-I21)</x:f>
      </x:c>
      <x:c r="S21" s="20" t="str">
        <x:f>IF(A21="","",IF(AND(K21&lt;&gt;"Closed",J21&lt;TODAY()),"YES","NO"))</x:f>
      </x:c>
    </x:row>
    <x:row r="22">
      <x:c r="A22" s="20"/>
      <x:c r="B22" s="20"/>
      <x:c r="C22" s="20"/>
      <x:c r="D22" s="20"/>
      <x:c r="E22" s="20"/>
      <x:c r="F22" s="20"/>
      <x:c r="G22" s="20"/>
      <x:c r="H22" s="20"/>
      <x:c r="I22" s="23"/>
      <x:c r="J22" s="23"/>
      <x:c r="K22" s="20"/>
      <x:c r="L22" s="20"/>
      <x:c r="M22" s="20"/>
      <x:c r="N22" s="20"/>
      <x:c r="O22" s="23"/>
      <x:c r="P22" s="20"/>
      <x:c r="Q22" s="23"/>
      <x:c r="R22" s="20" t="str">
        <x:f>IF(A22="","",TODAY()-I22)</x:f>
      </x:c>
      <x:c r="S22" s="20" t="str">
        <x:f>IF(A22="","",IF(AND(K22&lt;&gt;"Closed",J22&lt;TODAY()),"YES","NO"))</x:f>
      </x:c>
    </x:row>
    <x:row r="23">
      <x:c r="A23" s="20"/>
      <x:c r="B23" s="20"/>
      <x:c r="C23" s="20"/>
      <x:c r="D23" s="20"/>
      <x:c r="E23" s="20"/>
      <x:c r="F23" s="20"/>
      <x:c r="G23" s="20"/>
      <x:c r="H23" s="20"/>
      <x:c r="I23" s="23"/>
      <x:c r="J23" s="23"/>
      <x:c r="K23" s="20"/>
      <x:c r="L23" s="20"/>
      <x:c r="M23" s="20"/>
      <x:c r="N23" s="20"/>
      <x:c r="O23" s="23"/>
      <x:c r="P23" s="20"/>
      <x:c r="Q23" s="23"/>
      <x:c r="R23" s="20" t="str">
        <x:f>IF(A23="","",TODAY()-I23)</x:f>
      </x:c>
      <x:c r="S23" s="20" t="str">
        <x:f>IF(A23="","",IF(AND(K23&lt;&gt;"Closed",J23&lt;TODAY()),"YES","NO"))</x:f>
      </x:c>
    </x:row>
    <x:row r="24">
      <x:c r="A24" s="20"/>
      <x:c r="B24" s="20"/>
      <x:c r="C24" s="20"/>
      <x:c r="D24" s="20"/>
      <x:c r="E24" s="20"/>
      <x:c r="F24" s="20"/>
      <x:c r="G24" s="20"/>
      <x:c r="H24" s="20"/>
      <x:c r="I24" s="23"/>
      <x:c r="J24" s="23"/>
      <x:c r="K24" s="20"/>
      <x:c r="L24" s="20"/>
      <x:c r="M24" s="20"/>
      <x:c r="N24" s="20"/>
      <x:c r="O24" s="23"/>
      <x:c r="P24" s="20"/>
      <x:c r="Q24" s="23"/>
      <x:c r="R24" s="20" t="str">
        <x:f>IF(A24="","",TODAY()-I24)</x:f>
      </x:c>
      <x:c r="S24" s="20" t="str">
        <x:f>IF(A24="","",IF(AND(K24&lt;&gt;"Closed",J24&lt;TODAY()),"YES","NO"))</x:f>
      </x:c>
    </x:row>
    <x:row r="25">
      <x:c r="A25" s="20"/>
      <x:c r="B25" s="20"/>
      <x:c r="C25" s="20"/>
      <x:c r="D25" s="20"/>
      <x:c r="E25" s="20"/>
      <x:c r="F25" s="20"/>
      <x:c r="G25" s="20"/>
      <x:c r="H25" s="20"/>
      <x:c r="I25" s="23"/>
      <x:c r="J25" s="23"/>
      <x:c r="K25" s="20"/>
      <x:c r="L25" s="20"/>
      <x:c r="M25" s="20"/>
      <x:c r="N25" s="20"/>
      <x:c r="O25" s="23"/>
      <x:c r="P25" s="20"/>
      <x:c r="Q25" s="23"/>
      <x:c r="R25" s="20" t="str">
        <x:f>IF(A25="","",TODAY()-I25)</x:f>
      </x:c>
      <x:c r="S25" s="20" t="str">
        <x:f>IF(A25="","",IF(AND(K25&lt;&gt;"Closed",J25&lt;TODAY()),"YES","NO"))</x:f>
      </x:c>
    </x:row>
    <x:row r="26">
      <x:c r="A26" s="20"/>
      <x:c r="B26" s="20"/>
      <x:c r="C26" s="20"/>
      <x:c r="D26" s="20"/>
      <x:c r="E26" s="20"/>
      <x:c r="F26" s="20"/>
      <x:c r="G26" s="20"/>
      <x:c r="H26" s="20"/>
      <x:c r="I26" s="23"/>
      <x:c r="J26" s="23"/>
      <x:c r="K26" s="20"/>
      <x:c r="L26" s="20"/>
      <x:c r="M26" s="20"/>
      <x:c r="N26" s="20"/>
      <x:c r="O26" s="23"/>
      <x:c r="P26" s="20"/>
      <x:c r="Q26" s="23"/>
      <x:c r="R26" s="20" t="str">
        <x:f>IF(A26="","",TODAY()-I26)</x:f>
      </x:c>
      <x:c r="S26" s="20" t="str">
        <x:f>IF(A26="","",IF(AND(K26&lt;&gt;"Closed",J26&lt;TODAY()),"YES","NO"))</x:f>
      </x:c>
    </x:row>
    <x:row r="27">
      <x:c r="A27" s="20"/>
      <x:c r="B27" s="20"/>
      <x:c r="C27" s="20"/>
      <x:c r="D27" s="20"/>
      <x:c r="E27" s="20"/>
      <x:c r="F27" s="20"/>
      <x:c r="G27" s="20"/>
      <x:c r="H27" s="20"/>
      <x:c r="I27" s="23"/>
      <x:c r="J27" s="23"/>
      <x:c r="K27" s="20"/>
      <x:c r="L27" s="20"/>
      <x:c r="M27" s="20"/>
      <x:c r="N27" s="20"/>
      <x:c r="O27" s="23"/>
      <x:c r="P27" s="20"/>
      <x:c r="Q27" s="23"/>
      <x:c r="R27" s="20" t="str">
        <x:f>IF(A27="","",TODAY()-I27)</x:f>
      </x:c>
      <x:c r="S27" s="20" t="str">
        <x:f>IF(A27="","",IF(AND(K27&lt;&gt;"Closed",J27&lt;TODAY()),"YES","NO"))</x:f>
      </x:c>
    </x:row>
    <x:row r="28">
      <x:c r="A28" s="20"/>
      <x:c r="B28" s="20"/>
      <x:c r="C28" s="20"/>
      <x:c r="D28" s="20"/>
      <x:c r="E28" s="20"/>
      <x:c r="F28" s="20"/>
      <x:c r="G28" s="20"/>
      <x:c r="H28" s="20"/>
      <x:c r="I28" s="23"/>
      <x:c r="J28" s="23"/>
      <x:c r="K28" s="20"/>
      <x:c r="L28" s="20"/>
      <x:c r="M28" s="20"/>
      <x:c r="N28" s="20"/>
      <x:c r="O28" s="23"/>
      <x:c r="P28" s="20"/>
      <x:c r="Q28" s="23"/>
      <x:c r="R28" s="20" t="str">
        <x:f>IF(A28="","",TODAY()-I28)</x:f>
      </x:c>
      <x:c r="S28" s="20" t="str">
        <x:f>IF(A28="","",IF(AND(K28&lt;&gt;"Closed",J28&lt;TODAY()),"YES","NO"))</x:f>
      </x:c>
    </x:row>
    <x:row r="29">
      <x:c r="A29" s="20"/>
      <x:c r="B29" s="20"/>
      <x:c r="C29" s="20"/>
      <x:c r="D29" s="20"/>
      <x:c r="E29" s="20"/>
      <x:c r="F29" s="20"/>
      <x:c r="G29" s="20"/>
      <x:c r="H29" s="20"/>
      <x:c r="I29" s="23"/>
      <x:c r="J29" s="23"/>
      <x:c r="K29" s="20"/>
      <x:c r="L29" s="20"/>
      <x:c r="M29" s="20"/>
      <x:c r="N29" s="20"/>
      <x:c r="O29" s="23"/>
      <x:c r="P29" s="20"/>
      <x:c r="Q29" s="23"/>
      <x:c r="R29" s="20" t="str">
        <x:f>IF(A29="","",TODAY()-I29)</x:f>
      </x:c>
      <x:c r="S29" s="20" t="str">
        <x:f>IF(A29="","",IF(AND(K29&lt;&gt;"Closed",J29&lt;TODAY()),"YES","NO"))</x:f>
      </x:c>
    </x:row>
    <x:row r="30">
      <x:c r="A30" s="20"/>
      <x:c r="B30" s="20"/>
      <x:c r="C30" s="20"/>
      <x:c r="D30" s="20"/>
      <x:c r="E30" s="20"/>
      <x:c r="F30" s="20"/>
      <x:c r="G30" s="20"/>
      <x:c r="H30" s="20"/>
      <x:c r="I30" s="23"/>
      <x:c r="J30" s="23"/>
      <x:c r="K30" s="20"/>
      <x:c r="L30" s="20"/>
      <x:c r="M30" s="20"/>
      <x:c r="N30" s="20"/>
      <x:c r="O30" s="23"/>
      <x:c r="P30" s="20"/>
      <x:c r="Q30" s="23"/>
      <x:c r="R30" s="20" t="str">
        <x:f>IF(A30="","",TODAY()-I30)</x:f>
      </x:c>
      <x:c r="S30" s="20" t="str">
        <x:f>IF(A30="","",IF(AND(K30&lt;&gt;"Closed",J30&lt;TODAY()),"YES","NO"))</x:f>
      </x:c>
    </x:row>
    <x:row r="31">
      <x:c r="A31" s="20"/>
      <x:c r="B31" s="20"/>
      <x:c r="C31" s="20"/>
      <x:c r="D31" s="20"/>
      <x:c r="E31" s="20"/>
      <x:c r="F31" s="20"/>
      <x:c r="G31" s="20"/>
      <x:c r="H31" s="20"/>
      <x:c r="I31" s="23"/>
      <x:c r="J31" s="23"/>
      <x:c r="K31" s="20"/>
      <x:c r="L31" s="20"/>
      <x:c r="M31" s="20"/>
      <x:c r="N31" s="20"/>
      <x:c r="O31" s="23"/>
      <x:c r="P31" s="20"/>
      <x:c r="Q31" s="23"/>
      <x:c r="R31" s="20" t="str">
        <x:f>IF(A31="","",TODAY()-I31)</x:f>
      </x:c>
      <x:c r="S31" s="20" t="str">
        <x:f>IF(A31="","",IF(AND(K31&lt;&gt;"Closed",J31&lt;TODAY()),"YES","NO"))</x:f>
      </x:c>
    </x:row>
    <x:row r="32">
      <x:c r="A32" s="20"/>
      <x:c r="B32" s="20"/>
      <x:c r="C32" s="20"/>
      <x:c r="D32" s="20"/>
      <x:c r="E32" s="20"/>
      <x:c r="F32" s="20"/>
      <x:c r="G32" s="20"/>
      <x:c r="H32" s="20"/>
      <x:c r="I32" s="23"/>
      <x:c r="J32" s="23"/>
      <x:c r="K32" s="20"/>
      <x:c r="L32" s="20"/>
      <x:c r="M32" s="20"/>
      <x:c r="N32" s="20"/>
      <x:c r="O32" s="23"/>
      <x:c r="P32" s="20"/>
      <x:c r="Q32" s="23"/>
      <x:c r="R32" s="20" t="str">
        <x:f>IF(A32="","",TODAY()-I32)</x:f>
      </x:c>
      <x:c r="S32" s="20" t="str">
        <x:f>IF(A32="","",IF(AND(K32&lt;&gt;"Closed",J32&lt;TODAY()),"YES","NO"))</x:f>
      </x:c>
    </x:row>
    <x:row r="33">
      <x:c r="A33" s="20"/>
      <x:c r="B33" s="20"/>
      <x:c r="C33" s="20"/>
      <x:c r="D33" s="20"/>
      <x:c r="E33" s="20"/>
      <x:c r="F33" s="20"/>
      <x:c r="G33" s="20"/>
      <x:c r="H33" s="20"/>
      <x:c r="I33" s="23"/>
      <x:c r="J33" s="23"/>
      <x:c r="K33" s="20"/>
      <x:c r="L33" s="20"/>
      <x:c r="M33" s="20"/>
      <x:c r="N33" s="20"/>
      <x:c r="O33" s="23"/>
      <x:c r="P33" s="20"/>
      <x:c r="Q33" s="23"/>
      <x:c r="R33" s="20" t="str">
        <x:f>IF(A33="","",TODAY()-I33)</x:f>
      </x:c>
      <x:c r="S33" s="20" t="str">
        <x:f>IF(A33="","",IF(AND(K33&lt;&gt;"Closed",J33&lt;TODAY()),"YES","NO"))</x:f>
      </x:c>
    </x:row>
    <x:row r="34">
      <x:c r="A34" s="20"/>
      <x:c r="B34" s="20"/>
      <x:c r="C34" s="20"/>
      <x:c r="D34" s="20"/>
      <x:c r="E34" s="20"/>
      <x:c r="F34" s="20"/>
      <x:c r="G34" s="20"/>
      <x:c r="H34" s="20"/>
      <x:c r="I34" s="23"/>
      <x:c r="J34" s="23"/>
      <x:c r="K34" s="20"/>
      <x:c r="L34" s="20"/>
      <x:c r="M34" s="20"/>
      <x:c r="N34" s="20"/>
      <x:c r="O34" s="23"/>
      <x:c r="P34" s="20"/>
      <x:c r="Q34" s="23"/>
      <x:c r="R34" s="20" t="str">
        <x:f>IF(A34="","",TODAY()-I34)</x:f>
      </x:c>
      <x:c r="S34" s="20" t="str">
        <x:f>IF(A34="","",IF(AND(K34&lt;&gt;"Closed",J34&lt;TODAY()),"YES","NO"))</x:f>
      </x:c>
    </x:row>
    <x:row r="35">
      <x:c r="A35" s="20"/>
      <x:c r="B35" s="20"/>
      <x:c r="C35" s="20"/>
      <x:c r="D35" s="20"/>
      <x:c r="E35" s="20"/>
      <x:c r="F35" s="20"/>
      <x:c r="G35" s="20"/>
      <x:c r="H35" s="20"/>
      <x:c r="I35" s="23"/>
      <x:c r="J35" s="23"/>
      <x:c r="K35" s="20"/>
      <x:c r="L35" s="20"/>
      <x:c r="M35" s="20"/>
      <x:c r="N35" s="20"/>
      <x:c r="O35" s="23"/>
      <x:c r="P35" s="20"/>
      <x:c r="Q35" s="23"/>
      <x:c r="R35" s="20" t="str">
        <x:f>IF(A35="","",TODAY()-I35)</x:f>
      </x:c>
      <x:c r="S35" s="20" t="str">
        <x:f>IF(A35="","",IF(AND(K35&lt;&gt;"Closed",J35&lt;TODAY()),"YES","NO"))</x:f>
      </x:c>
    </x:row>
    <x:row r="36">
      <x:c r="A36" s="20"/>
      <x:c r="B36" s="20"/>
      <x:c r="C36" s="20"/>
      <x:c r="D36" s="20"/>
      <x:c r="E36" s="20"/>
      <x:c r="F36" s="20"/>
      <x:c r="G36" s="20"/>
      <x:c r="H36" s="20"/>
      <x:c r="I36" s="23"/>
      <x:c r="J36" s="23"/>
      <x:c r="K36" s="20"/>
      <x:c r="L36" s="20"/>
      <x:c r="M36" s="20"/>
      <x:c r="N36" s="20"/>
      <x:c r="O36" s="23"/>
      <x:c r="P36" s="20"/>
      <x:c r="Q36" s="23"/>
      <x:c r="R36" s="20" t="str">
        <x:f>IF(A36="","",TODAY()-I36)</x:f>
      </x:c>
      <x:c r="S36" s="20" t="str">
        <x:f>IF(A36="","",IF(AND(K36&lt;&gt;"Closed",J36&lt;TODAY()),"YES","NO"))</x:f>
      </x:c>
    </x:row>
    <x:row r="37">
      <x:c r="A37" s="20"/>
      <x:c r="B37" s="20"/>
      <x:c r="C37" s="20"/>
      <x:c r="D37" s="20"/>
      <x:c r="E37" s="20"/>
      <x:c r="F37" s="20"/>
      <x:c r="G37" s="20"/>
      <x:c r="H37" s="20"/>
      <x:c r="I37" s="23"/>
      <x:c r="J37" s="23"/>
      <x:c r="K37" s="20"/>
      <x:c r="L37" s="20"/>
      <x:c r="M37" s="20"/>
      <x:c r="N37" s="20"/>
      <x:c r="O37" s="23"/>
      <x:c r="P37" s="20"/>
      <x:c r="Q37" s="23"/>
      <x:c r="R37" s="20" t="str">
        <x:f>IF(A37="","",TODAY()-I37)</x:f>
      </x:c>
      <x:c r="S37" s="20" t="str">
        <x:f>IF(A37="","",IF(AND(K37&lt;&gt;"Closed",J37&lt;TODAY()),"YES","NO"))</x:f>
      </x:c>
    </x:row>
    <x:row r="38">
      <x:c r="A38" s="20"/>
      <x:c r="B38" s="20"/>
      <x:c r="C38" s="20"/>
      <x:c r="D38" s="20"/>
      <x:c r="E38" s="20"/>
      <x:c r="F38" s="20"/>
      <x:c r="G38" s="20"/>
      <x:c r="H38" s="20"/>
      <x:c r="I38" s="23"/>
      <x:c r="J38" s="23"/>
      <x:c r="K38" s="20"/>
      <x:c r="L38" s="20"/>
      <x:c r="M38" s="20"/>
      <x:c r="N38" s="20"/>
      <x:c r="O38" s="23"/>
      <x:c r="P38" s="20"/>
      <x:c r="Q38" s="23"/>
      <x:c r="R38" s="20" t="str">
        <x:f>IF(A38="","",TODAY()-I38)</x:f>
      </x:c>
      <x:c r="S38" s="20" t="str">
        <x:f>IF(A38="","",IF(AND(K38&lt;&gt;"Closed",J38&lt;TODAY()),"YES","NO"))</x:f>
      </x:c>
    </x:row>
    <x:row r="39">
      <x:c r="A39" s="20"/>
      <x:c r="B39" s="20"/>
      <x:c r="C39" s="20"/>
      <x:c r="D39" s="20"/>
      <x:c r="E39" s="20"/>
      <x:c r="F39" s="20"/>
      <x:c r="G39" s="20"/>
      <x:c r="H39" s="20"/>
      <x:c r="I39" s="23"/>
      <x:c r="J39" s="23"/>
      <x:c r="K39" s="20"/>
      <x:c r="L39" s="20"/>
      <x:c r="M39" s="20"/>
      <x:c r="N39" s="20"/>
      <x:c r="O39" s="23"/>
      <x:c r="P39" s="20"/>
      <x:c r="Q39" s="23"/>
      <x:c r="R39" s="20" t="str">
        <x:f>IF(A39="","",TODAY()-I39)</x:f>
      </x:c>
      <x:c r="S39" s="20" t="str">
        <x:f>IF(A39="","",IF(AND(K39&lt;&gt;"Closed",J39&lt;TODAY()),"YES","NO"))</x:f>
      </x:c>
    </x:row>
    <x:row r="40">
      <x:c r="A40" s="20"/>
      <x:c r="B40" s="20"/>
      <x:c r="C40" s="20"/>
      <x:c r="D40" s="20"/>
      <x:c r="E40" s="20"/>
      <x:c r="F40" s="20"/>
      <x:c r="G40" s="20"/>
      <x:c r="H40" s="20"/>
      <x:c r="I40" s="23"/>
      <x:c r="J40" s="23"/>
      <x:c r="K40" s="20"/>
      <x:c r="L40" s="20"/>
      <x:c r="M40" s="20"/>
      <x:c r="N40" s="20"/>
      <x:c r="O40" s="23"/>
      <x:c r="P40" s="20"/>
      <x:c r="Q40" s="23"/>
      <x:c r="R40" s="20" t="str">
        <x:f>IF(A40="","",TODAY()-I40)</x:f>
      </x:c>
      <x:c r="S40" s="20" t="str">
        <x:f>IF(A40="","",IF(AND(K40&lt;&gt;"Closed",J40&lt;TODAY()),"YES","NO"))</x:f>
      </x:c>
    </x:row>
    <x:row r="41">
      <x:c r="A41" s="20"/>
      <x:c r="B41" s="20"/>
      <x:c r="C41" s="20"/>
      <x:c r="D41" s="20"/>
      <x:c r="E41" s="20"/>
      <x:c r="F41" s="20"/>
      <x:c r="G41" s="20"/>
      <x:c r="H41" s="20"/>
      <x:c r="I41" s="23"/>
      <x:c r="J41" s="23"/>
      <x:c r="K41" s="20"/>
      <x:c r="L41" s="20"/>
      <x:c r="M41" s="20"/>
      <x:c r="N41" s="20"/>
      <x:c r="O41" s="23"/>
      <x:c r="P41" s="20"/>
      <x:c r="Q41" s="23"/>
      <x:c r="R41" s="20" t="str">
        <x:f>IF(A41="","",TODAY()-I41)</x:f>
      </x:c>
      <x:c r="S41" s="20" t="str">
        <x:f>IF(A41="","",IF(AND(K41&lt;&gt;"Closed",J41&lt;TODAY()),"YES","NO"))</x:f>
      </x:c>
    </x:row>
    <x:row r="42">
      <x:c r="A42" s="20"/>
      <x:c r="B42" s="20"/>
      <x:c r="C42" s="20"/>
      <x:c r="D42" s="20"/>
      <x:c r="E42" s="20"/>
      <x:c r="F42" s="20"/>
      <x:c r="G42" s="20"/>
      <x:c r="H42" s="20"/>
      <x:c r="I42" s="23"/>
      <x:c r="J42" s="23"/>
      <x:c r="K42" s="20"/>
      <x:c r="L42" s="20"/>
      <x:c r="M42" s="20"/>
      <x:c r="N42" s="20"/>
      <x:c r="O42" s="23"/>
      <x:c r="P42" s="20"/>
      <x:c r="Q42" s="23"/>
      <x:c r="R42" s="20" t="str">
        <x:f>IF(A42="","",TODAY()-I42)</x:f>
      </x:c>
      <x:c r="S42" s="20" t="str">
        <x:f>IF(A42="","",IF(AND(K42&lt;&gt;"Closed",J42&lt;TODAY()),"YES","NO"))</x:f>
      </x:c>
    </x:row>
    <x:row r="43">
      <x:c r="A43" s="20"/>
      <x:c r="B43" s="20"/>
      <x:c r="C43" s="20"/>
      <x:c r="D43" s="20"/>
      <x:c r="E43" s="20"/>
      <x:c r="F43" s="20"/>
      <x:c r="G43" s="20"/>
      <x:c r="H43" s="20"/>
      <x:c r="I43" s="23"/>
      <x:c r="J43" s="23"/>
      <x:c r="K43" s="20"/>
      <x:c r="L43" s="20"/>
      <x:c r="M43" s="20"/>
      <x:c r="N43" s="20"/>
      <x:c r="O43" s="23"/>
      <x:c r="P43" s="20"/>
      <x:c r="Q43" s="23"/>
      <x:c r="R43" s="20" t="str">
        <x:f>IF(A43="","",TODAY()-I43)</x:f>
      </x:c>
      <x:c r="S43" s="20" t="str">
        <x:f>IF(A43="","",IF(AND(K43&lt;&gt;"Closed",J43&lt;TODAY()),"YES","NO"))</x:f>
      </x:c>
    </x:row>
    <x:row r="44">
      <x:c r="A44" s="20"/>
      <x:c r="B44" s="20"/>
      <x:c r="C44" s="20"/>
      <x:c r="D44" s="20"/>
      <x:c r="E44" s="20"/>
      <x:c r="F44" s="20"/>
      <x:c r="G44" s="20"/>
      <x:c r="H44" s="20"/>
      <x:c r="I44" s="23"/>
      <x:c r="J44" s="23"/>
      <x:c r="K44" s="20"/>
      <x:c r="L44" s="20"/>
      <x:c r="M44" s="20"/>
      <x:c r="N44" s="20"/>
      <x:c r="O44" s="23"/>
      <x:c r="P44" s="20"/>
      <x:c r="Q44" s="23"/>
      <x:c r="R44" s="20" t="str">
        <x:f>IF(A44="","",TODAY()-I44)</x:f>
      </x:c>
      <x:c r="S44" s="20" t="str">
        <x:f>IF(A44="","",IF(AND(K44&lt;&gt;"Closed",J44&lt;TODAY()),"YES","NO"))</x:f>
      </x:c>
    </x:row>
    <x:row r="45">
      <x:c r="A45" s="20"/>
      <x:c r="B45" s="20"/>
      <x:c r="C45" s="20"/>
      <x:c r="D45" s="20"/>
      <x:c r="E45" s="20"/>
      <x:c r="F45" s="20"/>
      <x:c r="G45" s="20"/>
      <x:c r="H45" s="20"/>
      <x:c r="I45" s="23"/>
      <x:c r="J45" s="23"/>
      <x:c r="K45" s="20"/>
      <x:c r="L45" s="20"/>
      <x:c r="M45" s="20"/>
      <x:c r="N45" s="20"/>
      <x:c r="O45" s="23"/>
      <x:c r="P45" s="20"/>
      <x:c r="Q45" s="23"/>
      <x:c r="R45" s="20" t="str">
        <x:f>IF(A45="","",TODAY()-I45)</x:f>
      </x:c>
      <x:c r="S45" s="20" t="str">
        <x:f>IF(A45="","",IF(AND(K45&lt;&gt;"Closed",J45&lt;TODAY()),"YES","NO"))</x:f>
      </x:c>
    </x:row>
    <x:row r="46">
      <x:c r="A46" s="20"/>
      <x:c r="B46" s="20"/>
      <x:c r="C46" s="20"/>
      <x:c r="D46" s="20"/>
      <x:c r="E46" s="20"/>
      <x:c r="F46" s="20"/>
      <x:c r="G46" s="20"/>
      <x:c r="H46" s="20"/>
      <x:c r="I46" s="23"/>
      <x:c r="J46" s="23"/>
      <x:c r="K46" s="20"/>
      <x:c r="L46" s="20"/>
      <x:c r="M46" s="20"/>
      <x:c r="N46" s="20"/>
      <x:c r="O46" s="23"/>
      <x:c r="P46" s="20"/>
      <x:c r="Q46" s="23"/>
      <x:c r="R46" s="20" t="str">
        <x:f>IF(A46="","",TODAY()-I46)</x:f>
      </x:c>
      <x:c r="S46" s="20" t="str">
        <x:f>IF(A46="","",IF(AND(K46&lt;&gt;"Closed",J46&lt;TODAY()),"YES","NO"))</x:f>
      </x:c>
    </x:row>
    <x:row r="47">
      <x:c r="A47" s="20"/>
      <x:c r="B47" s="20"/>
      <x:c r="C47" s="20"/>
      <x:c r="D47" s="20"/>
      <x:c r="E47" s="20"/>
      <x:c r="F47" s="20"/>
      <x:c r="G47" s="20"/>
      <x:c r="H47" s="20"/>
      <x:c r="I47" s="23"/>
      <x:c r="J47" s="23"/>
      <x:c r="K47" s="20"/>
      <x:c r="L47" s="20"/>
      <x:c r="M47" s="20"/>
      <x:c r="N47" s="20"/>
      <x:c r="O47" s="23"/>
      <x:c r="P47" s="20"/>
      <x:c r="Q47" s="23"/>
      <x:c r="R47" s="20" t="str">
        <x:f>IF(A47="","",TODAY()-I47)</x:f>
      </x:c>
      <x:c r="S47" s="20" t="str">
        <x:f>IF(A47="","",IF(AND(K47&lt;&gt;"Closed",J47&lt;TODAY()),"YES","NO"))</x:f>
      </x:c>
    </x:row>
    <x:row r="48">
      <x:c r="A48" s="20"/>
      <x:c r="B48" s="20"/>
      <x:c r="C48" s="20"/>
      <x:c r="D48" s="20"/>
      <x:c r="E48" s="20"/>
      <x:c r="F48" s="20"/>
      <x:c r="G48" s="20"/>
      <x:c r="H48" s="20"/>
      <x:c r="I48" s="23"/>
      <x:c r="J48" s="23"/>
      <x:c r="K48" s="20"/>
      <x:c r="L48" s="20"/>
      <x:c r="M48" s="20"/>
      <x:c r="N48" s="20"/>
      <x:c r="O48" s="23"/>
      <x:c r="P48" s="20"/>
      <x:c r="Q48" s="23"/>
      <x:c r="R48" s="20" t="str">
        <x:f>IF(A48="","",TODAY()-I48)</x:f>
      </x:c>
      <x:c r="S48" s="20" t="str">
        <x:f>IF(A48="","",IF(AND(K48&lt;&gt;"Closed",J48&lt;TODAY()),"YES","NO"))</x:f>
      </x:c>
    </x:row>
    <x:row r="49">
      <x:c r="A49" s="20"/>
      <x:c r="B49" s="20"/>
      <x:c r="C49" s="20"/>
      <x:c r="D49" s="20"/>
      <x:c r="E49" s="20"/>
      <x:c r="F49" s="20"/>
      <x:c r="G49" s="20"/>
      <x:c r="H49" s="20"/>
      <x:c r="I49" s="23"/>
      <x:c r="J49" s="23"/>
      <x:c r="K49" s="20"/>
      <x:c r="L49" s="20"/>
      <x:c r="M49" s="20"/>
      <x:c r="N49" s="20"/>
      <x:c r="O49" s="23"/>
      <x:c r="P49" s="20"/>
      <x:c r="Q49" s="23"/>
      <x:c r="R49" s="20" t="str">
        <x:f>IF(A49="","",TODAY()-I49)</x:f>
      </x:c>
      <x:c r="S49" s="20" t="str">
        <x:f>IF(A49="","",IF(AND(K49&lt;&gt;"Closed",J49&lt;TODAY()),"YES","NO"))</x:f>
      </x:c>
    </x:row>
    <x:row r="50">
      <x:c r="A50" s="20"/>
      <x:c r="B50" s="20"/>
      <x:c r="C50" s="20"/>
      <x:c r="D50" s="20"/>
      <x:c r="E50" s="20"/>
      <x:c r="F50" s="20"/>
      <x:c r="G50" s="20"/>
      <x:c r="H50" s="20"/>
      <x:c r="I50" s="23"/>
      <x:c r="J50" s="23"/>
      <x:c r="K50" s="20"/>
      <x:c r="L50" s="20"/>
      <x:c r="M50" s="20"/>
      <x:c r="N50" s="20"/>
      <x:c r="O50" s="23"/>
      <x:c r="P50" s="20"/>
      <x:c r="Q50" s="23"/>
      <x:c r="R50" s="20" t="str">
        <x:f>IF(A50="","",TODAY()-I50)</x:f>
      </x:c>
      <x:c r="S50" s="20" t="str">
        <x:f>IF(A50="","",IF(AND(K50&lt;&gt;"Closed",J50&lt;TODAY()),"YES","NO"))</x:f>
      </x:c>
    </x:row>
    <x:row r="51">
      <x:c r="A51" s="20"/>
      <x:c r="B51" s="20"/>
      <x:c r="C51" s="20"/>
      <x:c r="D51" s="20"/>
      <x:c r="E51" s="20"/>
      <x:c r="F51" s="20"/>
      <x:c r="G51" s="20"/>
      <x:c r="H51" s="20"/>
      <x:c r="I51" s="23"/>
      <x:c r="J51" s="23"/>
      <x:c r="K51" s="20"/>
      <x:c r="L51" s="20"/>
      <x:c r="M51" s="20"/>
      <x:c r="N51" s="20"/>
      <x:c r="O51" s="23"/>
      <x:c r="P51" s="20"/>
      <x:c r="Q51" s="23"/>
      <x:c r="R51" s="20" t="str">
        <x:f>IF(A51="","",TODAY()-I51)</x:f>
      </x:c>
      <x:c r="S51" s="20" t="str">
        <x:f>IF(A51="","",IF(AND(K51&lt;&gt;"Closed",J51&lt;TODAY()),"YES","NO"))</x:f>
      </x:c>
    </x:row>
    <x:row r="52">
      <x:c r="A52" s="20"/>
      <x:c r="B52" s="20"/>
      <x:c r="C52" s="20"/>
      <x:c r="D52" s="20"/>
      <x:c r="E52" s="20"/>
      <x:c r="F52" s="20"/>
      <x:c r="G52" s="20"/>
      <x:c r="H52" s="20"/>
      <x:c r="I52" s="23"/>
      <x:c r="J52" s="23"/>
      <x:c r="K52" s="20"/>
      <x:c r="L52" s="20"/>
      <x:c r="M52" s="20"/>
      <x:c r="N52" s="20"/>
      <x:c r="O52" s="23"/>
      <x:c r="P52" s="20"/>
      <x:c r="Q52" s="23"/>
      <x:c r="R52" s="20" t="str">
        <x:f>IF(A52="","",TODAY()-I52)</x:f>
      </x:c>
      <x:c r="S52" s="20" t="str">
        <x:f>IF(A52="","",IF(AND(K52&lt;&gt;"Closed",J52&lt;TODAY()),"YES","NO"))</x:f>
      </x:c>
    </x:row>
    <x:row r="53">
      <x:c r="A53" s="20"/>
      <x:c r="B53" s="20"/>
      <x:c r="C53" s="20"/>
      <x:c r="D53" s="20"/>
      <x:c r="E53" s="20"/>
      <x:c r="F53" s="20"/>
      <x:c r="G53" s="20"/>
      <x:c r="H53" s="20"/>
      <x:c r="I53" s="23"/>
      <x:c r="J53" s="23"/>
      <x:c r="K53" s="20"/>
      <x:c r="L53" s="20"/>
      <x:c r="M53" s="20"/>
      <x:c r="N53" s="20"/>
      <x:c r="O53" s="23"/>
      <x:c r="P53" s="20"/>
      <x:c r="Q53" s="23"/>
      <x:c r="R53" s="20" t="str">
        <x:f>IF(A53="","",TODAY()-I53)</x:f>
      </x:c>
      <x:c r="S53" s="20" t="str">
        <x:f>IF(A53="","",IF(AND(K53&lt;&gt;"Closed",J53&lt;TODAY()),"YES","NO"))</x:f>
      </x:c>
    </x:row>
    <x:row r="54">
      <x:c r="A54" s="20"/>
      <x:c r="B54" s="20"/>
      <x:c r="C54" s="20"/>
      <x:c r="D54" s="20"/>
      <x:c r="E54" s="20"/>
      <x:c r="F54" s="20"/>
      <x:c r="G54" s="20"/>
      <x:c r="H54" s="20"/>
      <x:c r="I54" s="23"/>
      <x:c r="J54" s="23"/>
      <x:c r="K54" s="20"/>
      <x:c r="L54" s="20"/>
      <x:c r="M54" s="20"/>
      <x:c r="N54" s="20"/>
      <x:c r="O54" s="23"/>
      <x:c r="P54" s="20"/>
      <x:c r="Q54" s="23"/>
      <x:c r="R54" s="20" t="str">
        <x:f>IF(A54="","",TODAY()-I54)</x:f>
      </x:c>
      <x:c r="S54" s="20" t="str">
        <x:f>IF(A54="","",IF(AND(K54&lt;&gt;"Closed",J54&lt;TODAY()),"YES","NO"))</x:f>
      </x:c>
    </x:row>
    <x:row r="55">
      <x:c r="A55" s="20"/>
      <x:c r="B55" s="20"/>
      <x:c r="C55" s="20"/>
      <x:c r="D55" s="20"/>
      <x:c r="E55" s="20"/>
      <x:c r="F55" s="20"/>
      <x:c r="G55" s="20"/>
      <x:c r="H55" s="20"/>
      <x:c r="I55" s="23"/>
      <x:c r="J55" s="23"/>
      <x:c r="K55" s="20"/>
      <x:c r="L55" s="20"/>
      <x:c r="M55" s="20"/>
      <x:c r="N55" s="20"/>
      <x:c r="O55" s="23"/>
      <x:c r="P55" s="20"/>
      <x:c r="Q55" s="23"/>
      <x:c r="R55" s="20" t="str">
        <x:f>IF(A55="","",TODAY()-I55)</x:f>
      </x:c>
      <x:c r="S55" s="20" t="str">
        <x:f>IF(A55="","",IF(AND(K55&lt;&gt;"Closed",J55&lt;TODAY()),"YES","NO"))</x:f>
      </x:c>
    </x:row>
    <x:row r="56">
      <x:c r="A56" s="20"/>
      <x:c r="B56" s="20"/>
      <x:c r="C56" s="20"/>
      <x:c r="D56" s="20"/>
      <x:c r="E56" s="20"/>
      <x:c r="F56" s="20"/>
      <x:c r="G56" s="20"/>
      <x:c r="H56" s="20"/>
      <x:c r="I56" s="23"/>
      <x:c r="J56" s="23"/>
      <x:c r="K56" s="20"/>
      <x:c r="L56" s="20"/>
      <x:c r="M56" s="20"/>
      <x:c r="N56" s="20"/>
      <x:c r="O56" s="23"/>
      <x:c r="P56" s="20"/>
      <x:c r="Q56" s="23"/>
      <x:c r="R56" s="20" t="str">
        <x:f>IF(A56="","",TODAY()-I56)</x:f>
      </x:c>
      <x:c r="S56" s="20" t="str">
        <x:f>IF(A56="","",IF(AND(K56&lt;&gt;"Closed",J56&lt;TODAY()),"YES","NO"))</x:f>
      </x:c>
    </x:row>
    <x:row r="57">
      <x:c r="A57" s="20"/>
      <x:c r="B57" s="20"/>
      <x:c r="C57" s="20"/>
      <x:c r="D57" s="20"/>
      <x:c r="E57" s="20"/>
      <x:c r="F57" s="20"/>
      <x:c r="G57" s="20"/>
      <x:c r="H57" s="20"/>
      <x:c r="I57" s="23"/>
      <x:c r="J57" s="23"/>
      <x:c r="K57" s="20"/>
      <x:c r="L57" s="20"/>
      <x:c r="M57" s="20"/>
      <x:c r="N57" s="20"/>
      <x:c r="O57" s="23"/>
      <x:c r="P57" s="20"/>
      <x:c r="Q57" s="23"/>
      <x:c r="R57" s="20" t="str">
        <x:f>IF(A57="","",TODAY()-I57)</x:f>
      </x:c>
      <x:c r="S57" s="20" t="str">
        <x:f>IF(A57="","",IF(AND(K57&lt;&gt;"Closed",J57&lt;TODAY()),"YES","NO"))</x:f>
      </x:c>
    </x:row>
    <x:row r="58">
      <x:c r="A58" s="20"/>
      <x:c r="B58" s="20"/>
      <x:c r="C58" s="20"/>
      <x:c r="D58" s="20"/>
      <x:c r="E58" s="20"/>
      <x:c r="F58" s="20"/>
      <x:c r="G58" s="20"/>
      <x:c r="H58" s="20"/>
      <x:c r="I58" s="23"/>
      <x:c r="J58" s="23"/>
      <x:c r="K58" s="20"/>
      <x:c r="L58" s="20"/>
      <x:c r="M58" s="20"/>
      <x:c r="N58" s="20"/>
      <x:c r="O58" s="23"/>
      <x:c r="P58" s="20"/>
      <x:c r="Q58" s="23"/>
      <x:c r="R58" s="20" t="str">
        <x:f>IF(A58="","",TODAY()-I58)</x:f>
      </x:c>
      <x:c r="S58" s="20" t="str">
        <x:f>IF(A58="","",IF(AND(K58&lt;&gt;"Closed",J58&lt;TODAY()),"YES","NO"))</x:f>
      </x:c>
    </x:row>
    <x:row r="59">
      <x:c r="A59" s="20"/>
      <x:c r="B59" s="20"/>
      <x:c r="C59" s="20"/>
      <x:c r="D59" s="20"/>
      <x:c r="E59" s="20"/>
      <x:c r="F59" s="20"/>
      <x:c r="G59" s="20"/>
      <x:c r="H59" s="20"/>
      <x:c r="I59" s="23"/>
      <x:c r="J59" s="23"/>
      <x:c r="K59" s="20"/>
      <x:c r="L59" s="20"/>
      <x:c r="M59" s="20"/>
      <x:c r="N59" s="20"/>
      <x:c r="O59" s="23"/>
      <x:c r="P59" s="20"/>
      <x:c r="Q59" s="23"/>
      <x:c r="R59" s="20" t="str">
        <x:f>IF(A59="","",TODAY()-I59)</x:f>
      </x:c>
      <x:c r="S59" s="20" t="str">
        <x:f>IF(A59="","",IF(AND(K59&lt;&gt;"Closed",J59&lt;TODAY()),"YES","NO"))</x:f>
      </x:c>
    </x:row>
    <x:row r="60">
      <x:c r="A60" s="20"/>
      <x:c r="B60" s="20"/>
      <x:c r="C60" s="20"/>
      <x:c r="D60" s="20"/>
      <x:c r="E60" s="20"/>
      <x:c r="F60" s="20"/>
      <x:c r="G60" s="20"/>
      <x:c r="H60" s="20"/>
      <x:c r="I60" s="23"/>
      <x:c r="J60" s="23"/>
      <x:c r="K60" s="20"/>
      <x:c r="L60" s="20"/>
      <x:c r="M60" s="20"/>
      <x:c r="N60" s="20"/>
      <x:c r="O60" s="23"/>
      <x:c r="P60" s="20"/>
      <x:c r="Q60" s="23"/>
      <x:c r="R60" s="20" t="str">
        <x:f>IF(A60="","",TODAY()-I60)</x:f>
      </x:c>
      <x:c r="S60" s="20" t="str">
        <x:f>IF(A60="","",IF(AND(K60&lt;&gt;"Closed",J60&lt;TODAY()),"YES","NO"))</x:f>
      </x:c>
    </x:row>
    <x:row r="61">
      <x:c r="A61" s="20"/>
      <x:c r="B61" s="20"/>
      <x:c r="C61" s="20"/>
      <x:c r="D61" s="20"/>
      <x:c r="E61" s="20"/>
      <x:c r="F61" s="20"/>
      <x:c r="G61" s="20"/>
      <x:c r="H61" s="20"/>
      <x:c r="I61" s="23"/>
      <x:c r="J61" s="23"/>
      <x:c r="K61" s="20"/>
      <x:c r="L61" s="20"/>
      <x:c r="M61" s="20"/>
      <x:c r="N61" s="20"/>
      <x:c r="O61" s="23"/>
      <x:c r="P61" s="20"/>
      <x:c r="Q61" s="23"/>
      <x:c r="R61" s="20" t="str">
        <x:f>IF(A61="","",TODAY()-I61)</x:f>
      </x:c>
      <x:c r="S61" s="20" t="str">
        <x:f>IF(A61="","",IF(AND(K61&lt;&gt;"Closed",J61&lt;TODAY()),"YES","NO"))</x:f>
      </x:c>
    </x:row>
    <x:row r="62">
      <x:c r="A62" s="20"/>
      <x:c r="B62" s="20"/>
      <x:c r="C62" s="20"/>
      <x:c r="D62" s="20"/>
      <x:c r="E62" s="20"/>
      <x:c r="F62" s="20"/>
      <x:c r="G62" s="20"/>
      <x:c r="H62" s="20"/>
      <x:c r="I62" s="23"/>
      <x:c r="J62" s="23"/>
      <x:c r="K62" s="20"/>
      <x:c r="L62" s="20"/>
      <x:c r="M62" s="20"/>
      <x:c r="N62" s="20"/>
      <x:c r="O62" s="23"/>
      <x:c r="P62" s="20"/>
      <x:c r="Q62" s="23"/>
      <x:c r="R62" s="20" t="str">
        <x:f>IF(A62="","",TODAY()-I62)</x:f>
      </x:c>
      <x:c r="S62" s="20" t="str">
        <x:f>IF(A62="","",IF(AND(K62&lt;&gt;"Closed",J62&lt;TODAY()),"YES","NO"))</x:f>
      </x:c>
    </x:row>
    <x:row r="63">
      <x:c r="A63" s="20"/>
      <x:c r="B63" s="20"/>
      <x:c r="C63" s="20"/>
      <x:c r="D63" s="20"/>
      <x:c r="E63" s="20"/>
      <x:c r="F63" s="20"/>
      <x:c r="G63" s="20"/>
      <x:c r="H63" s="20"/>
      <x:c r="I63" s="23"/>
      <x:c r="J63" s="23"/>
      <x:c r="K63" s="20"/>
      <x:c r="L63" s="20"/>
      <x:c r="M63" s="20"/>
      <x:c r="N63" s="20"/>
      <x:c r="O63" s="23"/>
      <x:c r="P63" s="20"/>
      <x:c r="Q63" s="23"/>
      <x:c r="R63" s="20" t="str">
        <x:f>IF(A63="","",TODAY()-I63)</x:f>
      </x:c>
      <x:c r="S63" s="20" t="str">
        <x:f>IF(A63="","",IF(AND(K63&lt;&gt;"Closed",J63&lt;TODAY()),"YES","NO"))</x:f>
      </x:c>
    </x:row>
    <x:row r="64">
      <x:c r="A64" s="20"/>
      <x:c r="B64" s="20"/>
      <x:c r="C64" s="20"/>
      <x:c r="D64" s="20"/>
      <x:c r="E64" s="20"/>
      <x:c r="F64" s="20"/>
      <x:c r="G64" s="20"/>
      <x:c r="H64" s="20"/>
      <x:c r="I64" s="23"/>
      <x:c r="J64" s="23"/>
      <x:c r="K64" s="20"/>
      <x:c r="L64" s="20"/>
      <x:c r="M64" s="20"/>
      <x:c r="N64" s="20"/>
      <x:c r="O64" s="23"/>
      <x:c r="P64" s="20"/>
      <x:c r="Q64" s="23"/>
      <x:c r="R64" s="20" t="str">
        <x:f>IF(A64="","",TODAY()-I64)</x:f>
      </x:c>
      <x:c r="S64" s="20" t="str">
        <x:f>IF(A64="","",IF(AND(K64&lt;&gt;"Closed",J64&lt;TODAY()),"YES","NO"))</x:f>
      </x:c>
    </x:row>
    <x:row r="65">
      <x:c r="A65" s="20"/>
      <x:c r="B65" s="20"/>
      <x:c r="C65" s="20"/>
      <x:c r="D65" s="20"/>
      <x:c r="E65" s="20"/>
      <x:c r="F65" s="20"/>
      <x:c r="G65" s="20"/>
      <x:c r="H65" s="20"/>
      <x:c r="I65" s="23"/>
      <x:c r="J65" s="23"/>
      <x:c r="K65" s="20"/>
      <x:c r="L65" s="20"/>
      <x:c r="M65" s="20"/>
      <x:c r="N65" s="20"/>
      <x:c r="O65" s="23"/>
      <x:c r="P65" s="20"/>
      <x:c r="Q65" s="23"/>
      <x:c r="R65" s="20" t="str">
        <x:f>IF(A65="","",TODAY()-I65)</x:f>
      </x:c>
      <x:c r="S65" s="20" t="str">
        <x:f>IF(A65="","",IF(AND(K65&lt;&gt;"Closed",J65&lt;TODAY()),"YES","NO"))</x:f>
      </x:c>
    </x:row>
    <x:row r="66">
      <x:c r="A66" s="20"/>
      <x:c r="B66" s="20"/>
      <x:c r="C66" s="20"/>
      <x:c r="D66" s="20"/>
      <x:c r="E66" s="20"/>
      <x:c r="F66" s="20"/>
      <x:c r="G66" s="20"/>
      <x:c r="H66" s="20"/>
      <x:c r="I66" s="23"/>
      <x:c r="J66" s="23"/>
      <x:c r="K66" s="20"/>
      <x:c r="L66" s="20"/>
      <x:c r="M66" s="20"/>
      <x:c r="N66" s="20"/>
      <x:c r="O66" s="23"/>
      <x:c r="P66" s="20"/>
      <x:c r="Q66" s="23"/>
      <x:c r="R66" s="20" t="str">
        <x:f>IF(A66="","",TODAY()-I66)</x:f>
      </x:c>
      <x:c r="S66" s="20" t="str">
        <x:f>IF(A66="","",IF(AND(K66&lt;&gt;"Closed",J66&lt;TODAY()),"YES","NO"))</x:f>
      </x:c>
    </x:row>
    <x:row r="67">
      <x:c r="A67" s="20"/>
      <x:c r="B67" s="20"/>
      <x:c r="C67" s="20"/>
      <x:c r="D67" s="20"/>
      <x:c r="E67" s="20"/>
      <x:c r="F67" s="20"/>
      <x:c r="G67" s="20"/>
      <x:c r="H67" s="20"/>
      <x:c r="I67" s="23"/>
      <x:c r="J67" s="23"/>
      <x:c r="K67" s="20"/>
      <x:c r="L67" s="20"/>
      <x:c r="M67" s="20"/>
      <x:c r="N67" s="20"/>
      <x:c r="O67" s="23"/>
      <x:c r="P67" s="20"/>
      <x:c r="Q67" s="23"/>
      <x:c r="R67" s="20" t="str">
        <x:f>IF(A67="","",TODAY()-I67)</x:f>
      </x:c>
      <x:c r="S67" s="20" t="str">
        <x:f>IF(A67="","",IF(AND(K67&lt;&gt;"Closed",J67&lt;TODAY()),"YES","NO"))</x:f>
      </x:c>
    </x:row>
    <x:row r="68">
      <x:c r="A68" s="20"/>
      <x:c r="B68" s="20"/>
      <x:c r="C68" s="20"/>
      <x:c r="D68" s="20"/>
      <x:c r="E68" s="20"/>
      <x:c r="F68" s="20"/>
      <x:c r="G68" s="20"/>
      <x:c r="H68" s="20"/>
      <x:c r="I68" s="23"/>
      <x:c r="J68" s="23"/>
      <x:c r="K68" s="20"/>
      <x:c r="L68" s="20"/>
      <x:c r="M68" s="20"/>
      <x:c r="N68" s="20"/>
      <x:c r="O68" s="23"/>
      <x:c r="P68" s="20"/>
      <x:c r="Q68" s="23"/>
      <x:c r="R68" s="20" t="str">
        <x:f>IF(A68="","",TODAY()-I68)</x:f>
      </x:c>
      <x:c r="S68" s="20" t="str">
        <x:f>IF(A68="","",IF(AND(K68&lt;&gt;"Closed",J68&lt;TODAY()),"YES","NO"))</x:f>
      </x:c>
    </x:row>
    <x:row r="69">
      <x:c r="A69" s="20"/>
      <x:c r="B69" s="20"/>
      <x:c r="C69" s="20"/>
      <x:c r="D69" s="20"/>
      <x:c r="E69" s="20"/>
      <x:c r="F69" s="20"/>
      <x:c r="G69" s="20"/>
      <x:c r="H69" s="20"/>
      <x:c r="I69" s="23"/>
      <x:c r="J69" s="23"/>
      <x:c r="K69" s="20"/>
      <x:c r="L69" s="20"/>
      <x:c r="M69" s="20"/>
      <x:c r="N69" s="20"/>
      <x:c r="O69" s="23"/>
      <x:c r="P69" s="20"/>
      <x:c r="Q69" s="23"/>
      <x:c r="R69" s="20" t="str">
        <x:f>IF(A69="","",TODAY()-I69)</x:f>
      </x:c>
      <x:c r="S69" s="20" t="str">
        <x:f>IF(A69="","",IF(AND(K69&lt;&gt;"Closed",J69&lt;TODAY()),"YES","NO"))</x:f>
      </x:c>
    </x:row>
    <x:row r="70">
      <x:c r="A70" s="20"/>
      <x:c r="B70" s="20"/>
      <x:c r="C70" s="20"/>
      <x:c r="D70" s="20"/>
      <x:c r="E70" s="20"/>
      <x:c r="F70" s="20"/>
      <x:c r="G70" s="20"/>
      <x:c r="H70" s="20"/>
      <x:c r="I70" s="23"/>
      <x:c r="J70" s="23"/>
      <x:c r="K70" s="20"/>
      <x:c r="L70" s="20"/>
      <x:c r="M70" s="20"/>
      <x:c r="N70" s="20"/>
      <x:c r="O70" s="23"/>
      <x:c r="P70" s="20"/>
      <x:c r="Q70" s="23"/>
      <x:c r="R70" s="20" t="str">
        <x:f>IF(A70="","",TODAY()-I70)</x:f>
      </x:c>
      <x:c r="S70" s="20" t="str">
        <x:f>IF(A70="","",IF(AND(K70&lt;&gt;"Closed",J70&lt;TODAY()),"YES","NO"))</x:f>
      </x:c>
    </x:row>
    <x:row r="71">
      <x:c r="A71" s="20"/>
      <x:c r="B71" s="20"/>
      <x:c r="C71" s="20"/>
      <x:c r="D71" s="20"/>
      <x:c r="E71" s="20"/>
      <x:c r="F71" s="20"/>
      <x:c r="G71" s="20"/>
      <x:c r="H71" s="20"/>
      <x:c r="I71" s="23"/>
      <x:c r="J71" s="23"/>
      <x:c r="K71" s="20"/>
      <x:c r="L71" s="20"/>
      <x:c r="M71" s="20"/>
      <x:c r="N71" s="20"/>
      <x:c r="O71" s="23"/>
      <x:c r="P71" s="20"/>
      <x:c r="Q71" s="23"/>
      <x:c r="R71" s="20" t="str">
        <x:f>IF(A71="","",TODAY()-I71)</x:f>
      </x:c>
      <x:c r="S71" s="20" t="str">
        <x:f>IF(A71="","",IF(AND(K71&lt;&gt;"Closed",J71&lt;TODAY()),"YES","NO"))</x:f>
      </x:c>
    </x:row>
    <x:row r="72">
      <x:c r="A72" s="20"/>
      <x:c r="B72" s="20"/>
      <x:c r="C72" s="20"/>
      <x:c r="D72" s="20"/>
      <x:c r="E72" s="20"/>
      <x:c r="F72" s="20"/>
      <x:c r="G72" s="20"/>
      <x:c r="H72" s="20"/>
      <x:c r="I72" s="23"/>
      <x:c r="J72" s="23"/>
      <x:c r="K72" s="20"/>
      <x:c r="L72" s="20"/>
      <x:c r="M72" s="20"/>
      <x:c r="N72" s="20"/>
      <x:c r="O72" s="23"/>
      <x:c r="P72" s="20"/>
      <x:c r="Q72" s="23"/>
      <x:c r="R72" s="20" t="str">
        <x:f>IF(A72="","",TODAY()-I72)</x:f>
      </x:c>
      <x:c r="S72" s="20" t="str">
        <x:f>IF(A72="","",IF(AND(K72&lt;&gt;"Closed",J72&lt;TODAY()),"YES","NO"))</x:f>
      </x:c>
    </x:row>
    <x:row r="73">
      <x:c r="A73" s="20"/>
      <x:c r="B73" s="20"/>
      <x:c r="C73" s="20"/>
      <x:c r="D73" s="20"/>
      <x:c r="E73" s="20"/>
      <x:c r="F73" s="20"/>
      <x:c r="G73" s="20"/>
      <x:c r="H73" s="20"/>
      <x:c r="I73" s="23"/>
      <x:c r="J73" s="23"/>
      <x:c r="K73" s="20"/>
      <x:c r="L73" s="20"/>
      <x:c r="M73" s="20"/>
      <x:c r="N73" s="20"/>
      <x:c r="O73" s="23"/>
      <x:c r="P73" s="20"/>
      <x:c r="Q73" s="23"/>
      <x:c r="R73" s="20" t="str">
        <x:f>IF(A73="","",TODAY()-I73)</x:f>
      </x:c>
      <x:c r="S73" s="20" t="str">
        <x:f>IF(A73="","",IF(AND(K73&lt;&gt;"Closed",J73&lt;TODAY()),"YES","NO"))</x:f>
      </x:c>
    </x:row>
    <x:row r="74">
      <x:c r="A74" s="20"/>
      <x:c r="B74" s="20"/>
      <x:c r="C74" s="20"/>
      <x:c r="D74" s="20"/>
      <x:c r="E74" s="20"/>
      <x:c r="F74" s="20"/>
      <x:c r="G74" s="20"/>
      <x:c r="H74" s="20"/>
      <x:c r="I74" s="23"/>
      <x:c r="J74" s="23"/>
      <x:c r="K74" s="20"/>
      <x:c r="L74" s="20"/>
      <x:c r="M74" s="20"/>
      <x:c r="N74" s="20"/>
      <x:c r="O74" s="23"/>
      <x:c r="P74" s="20"/>
      <x:c r="Q74" s="23"/>
      <x:c r="R74" s="20" t="str">
        <x:f>IF(A74="","",TODAY()-I74)</x:f>
      </x:c>
      <x:c r="S74" s="20" t="str">
        <x:f>IF(A74="","",IF(AND(K74&lt;&gt;"Closed",J74&lt;TODAY()),"YES","NO"))</x:f>
      </x:c>
    </x:row>
    <x:row r="75">
      <x:c r="A75" s="20"/>
      <x:c r="B75" s="20"/>
      <x:c r="C75" s="20"/>
      <x:c r="D75" s="20"/>
      <x:c r="E75" s="20"/>
      <x:c r="F75" s="20"/>
      <x:c r="G75" s="20"/>
      <x:c r="H75" s="20"/>
      <x:c r="I75" s="23"/>
      <x:c r="J75" s="23"/>
      <x:c r="K75" s="20"/>
      <x:c r="L75" s="20"/>
      <x:c r="M75" s="20"/>
      <x:c r="N75" s="20"/>
      <x:c r="O75" s="23"/>
      <x:c r="P75" s="20"/>
      <x:c r="Q75" s="23"/>
      <x:c r="R75" s="20" t="str">
        <x:f>IF(A75="","",TODAY()-I75)</x:f>
      </x:c>
      <x:c r="S75" s="20" t="str">
        <x:f>IF(A75="","",IF(AND(K75&lt;&gt;"Closed",J75&lt;TODAY()),"YES","NO"))</x:f>
      </x:c>
    </x:row>
    <x:row r="76">
      <x:c r="A76" s="20"/>
      <x:c r="B76" s="20"/>
      <x:c r="C76" s="20"/>
      <x:c r="D76" s="20"/>
      <x:c r="E76" s="20"/>
      <x:c r="F76" s="20"/>
      <x:c r="G76" s="20"/>
      <x:c r="H76" s="20"/>
      <x:c r="I76" s="23"/>
      <x:c r="J76" s="23"/>
      <x:c r="K76" s="20"/>
      <x:c r="L76" s="20"/>
      <x:c r="M76" s="20"/>
      <x:c r="N76" s="20"/>
      <x:c r="O76" s="23"/>
      <x:c r="P76" s="20"/>
      <x:c r="Q76" s="23"/>
      <x:c r="R76" s="20" t="str">
        <x:f>IF(A76="","",TODAY()-I76)</x:f>
      </x:c>
      <x:c r="S76" s="20" t="str">
        <x:f>IF(A76="","",IF(AND(K76&lt;&gt;"Closed",J76&lt;TODAY()),"YES","NO"))</x:f>
      </x:c>
    </x:row>
    <x:row r="77">
      <x:c r="A77" s="20"/>
      <x:c r="B77" s="20"/>
      <x:c r="C77" s="20"/>
      <x:c r="D77" s="20"/>
      <x:c r="E77" s="20"/>
      <x:c r="F77" s="20"/>
      <x:c r="G77" s="20"/>
      <x:c r="H77" s="20"/>
      <x:c r="I77" s="23"/>
      <x:c r="J77" s="23"/>
      <x:c r="K77" s="20"/>
      <x:c r="L77" s="20"/>
      <x:c r="M77" s="20"/>
      <x:c r="N77" s="20"/>
      <x:c r="O77" s="23"/>
      <x:c r="P77" s="20"/>
      <x:c r="Q77" s="23"/>
      <x:c r="R77" s="20" t="str">
        <x:f>IF(A77="","",TODAY()-I77)</x:f>
      </x:c>
      <x:c r="S77" s="20" t="str">
        <x:f>IF(A77="","",IF(AND(K77&lt;&gt;"Closed",J77&lt;TODAY()),"YES","NO"))</x:f>
      </x:c>
    </x:row>
    <x:row r="78">
      <x:c r="A78" s="20"/>
      <x:c r="B78" s="20"/>
      <x:c r="C78" s="20"/>
      <x:c r="D78" s="20"/>
      <x:c r="E78" s="20"/>
      <x:c r="F78" s="20"/>
      <x:c r="G78" s="20"/>
      <x:c r="H78" s="20"/>
      <x:c r="I78" s="23"/>
      <x:c r="J78" s="23"/>
      <x:c r="K78" s="20"/>
      <x:c r="L78" s="20"/>
      <x:c r="M78" s="20"/>
      <x:c r="N78" s="20"/>
      <x:c r="O78" s="23"/>
      <x:c r="P78" s="20"/>
      <x:c r="Q78" s="23"/>
      <x:c r="R78" s="20" t="str">
        <x:f>IF(A78="","",TODAY()-I78)</x:f>
      </x:c>
      <x:c r="S78" s="20" t="str">
        <x:f>IF(A78="","",IF(AND(K78&lt;&gt;"Closed",J78&lt;TODAY()),"YES","NO"))</x:f>
      </x:c>
    </x:row>
    <x:row r="79">
      <x:c r="A79" s="20"/>
      <x:c r="B79" s="20"/>
      <x:c r="C79" s="20"/>
      <x:c r="D79" s="20"/>
      <x:c r="E79" s="20"/>
      <x:c r="F79" s="20"/>
      <x:c r="G79" s="20"/>
      <x:c r="H79" s="20"/>
      <x:c r="I79" s="23"/>
      <x:c r="J79" s="23"/>
      <x:c r="K79" s="20"/>
      <x:c r="L79" s="20"/>
      <x:c r="M79" s="20"/>
      <x:c r="N79" s="20"/>
      <x:c r="O79" s="23"/>
      <x:c r="P79" s="20"/>
      <x:c r="Q79" s="23"/>
      <x:c r="R79" s="20" t="str">
        <x:f>IF(A79="","",TODAY()-I79)</x:f>
      </x:c>
      <x:c r="S79" s="20" t="str">
        <x:f>IF(A79="","",IF(AND(K79&lt;&gt;"Closed",J79&lt;TODAY()),"YES","NO"))</x:f>
      </x:c>
    </x:row>
    <x:row r="80">
      <x:c r="A80" s="20"/>
      <x:c r="B80" s="20"/>
      <x:c r="C80" s="20"/>
      <x:c r="D80" s="20"/>
      <x:c r="E80" s="20"/>
      <x:c r="F80" s="20"/>
      <x:c r="G80" s="20"/>
      <x:c r="H80" s="20"/>
      <x:c r="I80" s="23"/>
      <x:c r="J80" s="23"/>
      <x:c r="K80" s="20"/>
      <x:c r="L80" s="20"/>
      <x:c r="M80" s="20"/>
      <x:c r="N80" s="20"/>
      <x:c r="O80" s="23"/>
      <x:c r="P80" s="20"/>
      <x:c r="Q80" s="23"/>
      <x:c r="R80" s="20" t="str">
        <x:f>IF(A80="","",TODAY()-I80)</x:f>
      </x:c>
      <x:c r="S80" s="20" t="str">
        <x:f>IF(A80="","",IF(AND(K80&lt;&gt;"Closed",J80&lt;TODAY()),"YES","NO"))</x:f>
      </x:c>
    </x:row>
    <x:row r="81">
      <x:c r="A81" s="20"/>
      <x:c r="B81" s="20"/>
      <x:c r="C81" s="20"/>
      <x:c r="D81" s="20"/>
      <x:c r="E81" s="20"/>
      <x:c r="F81" s="20"/>
      <x:c r="G81" s="20"/>
      <x:c r="H81" s="20"/>
      <x:c r="I81" s="23"/>
      <x:c r="J81" s="23"/>
      <x:c r="K81" s="20"/>
      <x:c r="L81" s="20"/>
      <x:c r="M81" s="20"/>
      <x:c r="N81" s="20"/>
      <x:c r="O81" s="23"/>
      <x:c r="P81" s="20"/>
      <x:c r="Q81" s="23"/>
      <x:c r="R81" s="20" t="str">
        <x:f>IF(A81="","",TODAY()-I81)</x:f>
      </x:c>
      <x:c r="S81" s="20" t="str">
        <x:f>IF(A81="","",IF(AND(K81&lt;&gt;"Closed",J81&lt;TODAY()),"YES","NO"))</x:f>
      </x:c>
    </x:row>
    <x:row r="82">
      <x:c r="A82" s="20"/>
      <x:c r="B82" s="20"/>
      <x:c r="C82" s="20"/>
      <x:c r="D82" s="20"/>
      <x:c r="E82" s="20"/>
      <x:c r="F82" s="20"/>
      <x:c r="G82" s="20"/>
      <x:c r="H82" s="20"/>
      <x:c r="I82" s="23"/>
      <x:c r="J82" s="23"/>
      <x:c r="K82" s="20"/>
      <x:c r="L82" s="20"/>
      <x:c r="M82" s="20"/>
      <x:c r="N82" s="20"/>
      <x:c r="O82" s="23"/>
      <x:c r="P82" s="20"/>
      <x:c r="Q82" s="23"/>
      <x:c r="R82" s="20" t="str">
        <x:f>IF(A82="","",TODAY()-I82)</x:f>
      </x:c>
      <x:c r="S82" s="20" t="str">
        <x:f>IF(A82="","",IF(AND(K82&lt;&gt;"Closed",J82&lt;TODAY()),"YES","NO"))</x:f>
      </x:c>
    </x:row>
    <x:row r="83">
      <x:c r="A83" s="20"/>
      <x:c r="B83" s="20"/>
      <x:c r="C83" s="20"/>
      <x:c r="D83" s="20"/>
      <x:c r="E83" s="20"/>
      <x:c r="F83" s="20"/>
      <x:c r="G83" s="20"/>
      <x:c r="H83" s="20"/>
      <x:c r="I83" s="23"/>
      <x:c r="J83" s="23"/>
      <x:c r="K83" s="20"/>
      <x:c r="L83" s="20"/>
      <x:c r="M83" s="20"/>
      <x:c r="N83" s="20"/>
      <x:c r="O83" s="23"/>
      <x:c r="P83" s="20"/>
      <x:c r="Q83" s="23"/>
      <x:c r="R83" s="20" t="str">
        <x:f>IF(A83="","",TODAY()-I83)</x:f>
      </x:c>
      <x:c r="S83" s="20" t="str">
        <x:f>IF(A83="","",IF(AND(K83&lt;&gt;"Closed",J83&lt;TODAY()),"YES","NO"))</x:f>
      </x:c>
    </x:row>
    <x:row r="84">
      <x:c r="A84" s="20"/>
      <x:c r="B84" s="20"/>
      <x:c r="C84" s="20"/>
      <x:c r="D84" s="20"/>
      <x:c r="E84" s="20"/>
      <x:c r="F84" s="20"/>
      <x:c r="G84" s="20"/>
      <x:c r="H84" s="20"/>
      <x:c r="I84" s="23"/>
      <x:c r="J84" s="23"/>
      <x:c r="K84" s="20"/>
      <x:c r="L84" s="20"/>
      <x:c r="M84" s="20"/>
      <x:c r="N84" s="20"/>
      <x:c r="O84" s="23"/>
      <x:c r="P84" s="20"/>
      <x:c r="Q84" s="23"/>
      <x:c r="R84" s="20" t="str">
        <x:f>IF(A84="","",TODAY()-I84)</x:f>
      </x:c>
      <x:c r="S84" s="20" t="str">
        <x:f>IF(A84="","",IF(AND(K84&lt;&gt;"Closed",J84&lt;TODAY()),"YES","NO"))</x:f>
      </x:c>
    </x:row>
    <x:row r="85">
      <x:c r="A85" s="20"/>
      <x:c r="B85" s="20"/>
      <x:c r="C85" s="20"/>
      <x:c r="D85" s="20"/>
      <x:c r="E85" s="20"/>
      <x:c r="F85" s="20"/>
      <x:c r="G85" s="20"/>
      <x:c r="H85" s="20"/>
      <x:c r="I85" s="23"/>
      <x:c r="J85" s="23"/>
      <x:c r="K85" s="20"/>
      <x:c r="L85" s="20"/>
      <x:c r="M85" s="20"/>
      <x:c r="N85" s="20"/>
      <x:c r="O85" s="23"/>
      <x:c r="P85" s="20"/>
      <x:c r="Q85" s="23"/>
      <x:c r="R85" s="20" t="str">
        <x:f>IF(A85="","",TODAY()-I85)</x:f>
      </x:c>
      <x:c r="S85" s="20" t="str">
        <x:f>IF(A85="","",IF(AND(K85&lt;&gt;"Closed",J85&lt;TODAY()),"YES","NO"))</x:f>
      </x:c>
    </x:row>
    <x:row r="86">
      <x:c r="A86" s="20"/>
      <x:c r="B86" s="20"/>
      <x:c r="C86" s="20"/>
      <x:c r="D86" s="20"/>
      <x:c r="E86" s="20"/>
      <x:c r="F86" s="20"/>
      <x:c r="G86" s="20"/>
      <x:c r="H86" s="20"/>
      <x:c r="I86" s="23"/>
      <x:c r="J86" s="23"/>
      <x:c r="K86" s="20"/>
      <x:c r="L86" s="20"/>
      <x:c r="M86" s="20"/>
      <x:c r="N86" s="20"/>
      <x:c r="O86" s="23"/>
      <x:c r="P86" s="20"/>
      <x:c r="Q86" s="23"/>
      <x:c r="R86" s="20" t="str">
        <x:f>IF(A86="","",TODAY()-I86)</x:f>
      </x:c>
      <x:c r="S86" s="20" t="str">
        <x:f>IF(A86="","",IF(AND(K86&lt;&gt;"Closed",J86&lt;TODAY()),"YES","NO"))</x:f>
      </x:c>
    </x:row>
    <x:row r="87">
      <x:c r="A87" s="20"/>
      <x:c r="B87" s="20"/>
      <x:c r="C87" s="20"/>
      <x:c r="D87" s="20"/>
      <x:c r="E87" s="20"/>
      <x:c r="F87" s="20"/>
      <x:c r="G87" s="20"/>
      <x:c r="H87" s="20"/>
      <x:c r="I87" s="23"/>
      <x:c r="J87" s="23"/>
      <x:c r="K87" s="20"/>
      <x:c r="L87" s="20"/>
      <x:c r="M87" s="20"/>
      <x:c r="N87" s="20"/>
      <x:c r="O87" s="23"/>
      <x:c r="P87" s="20"/>
      <x:c r="Q87" s="23"/>
      <x:c r="R87" s="20" t="str">
        <x:f>IF(A87="","",TODAY()-I87)</x:f>
      </x:c>
      <x:c r="S87" s="20" t="str">
        <x:f>IF(A87="","",IF(AND(K87&lt;&gt;"Closed",J87&lt;TODAY()),"YES","NO"))</x:f>
      </x:c>
    </x:row>
    <x:row r="88">
      <x:c r="A88" s="20"/>
      <x:c r="B88" s="20"/>
      <x:c r="C88" s="20"/>
      <x:c r="D88" s="20"/>
      <x:c r="E88" s="20"/>
      <x:c r="F88" s="20"/>
      <x:c r="G88" s="20"/>
      <x:c r="H88" s="20"/>
      <x:c r="I88" s="23"/>
      <x:c r="J88" s="23"/>
      <x:c r="K88" s="20"/>
      <x:c r="L88" s="20"/>
      <x:c r="M88" s="20"/>
      <x:c r="N88" s="20"/>
      <x:c r="O88" s="23"/>
      <x:c r="P88" s="20"/>
      <x:c r="Q88" s="23"/>
      <x:c r="R88" s="20" t="str">
        <x:f>IF(A88="","",TODAY()-I88)</x:f>
      </x:c>
      <x:c r="S88" s="20" t="str">
        <x:f>IF(A88="","",IF(AND(K88&lt;&gt;"Closed",J88&lt;TODAY()),"YES","NO"))</x:f>
      </x:c>
    </x:row>
    <x:row r="89">
      <x:c r="A89" s="20"/>
      <x:c r="B89" s="20"/>
      <x:c r="C89" s="20"/>
      <x:c r="D89" s="20"/>
      <x:c r="E89" s="20"/>
      <x:c r="F89" s="20"/>
      <x:c r="G89" s="20"/>
      <x:c r="H89" s="20"/>
      <x:c r="I89" s="23"/>
      <x:c r="J89" s="23"/>
      <x:c r="K89" s="20"/>
      <x:c r="L89" s="20"/>
      <x:c r="M89" s="20"/>
      <x:c r="N89" s="20"/>
      <x:c r="O89" s="23"/>
      <x:c r="P89" s="20"/>
      <x:c r="Q89" s="23"/>
      <x:c r="R89" s="20" t="str">
        <x:f>IF(A89="","",TODAY()-I89)</x:f>
      </x:c>
      <x:c r="S89" s="20" t="str">
        <x:f>IF(A89="","",IF(AND(K89&lt;&gt;"Closed",J89&lt;TODAY()),"YES","NO"))</x:f>
      </x:c>
    </x:row>
    <x:row r="90">
      <x:c r="A90" s="20"/>
      <x:c r="B90" s="20"/>
      <x:c r="C90" s="20"/>
      <x:c r="D90" s="20"/>
      <x:c r="E90" s="20"/>
      <x:c r="F90" s="20"/>
      <x:c r="G90" s="20"/>
      <x:c r="H90" s="20"/>
      <x:c r="I90" s="23"/>
      <x:c r="J90" s="23"/>
      <x:c r="K90" s="20"/>
      <x:c r="L90" s="20"/>
      <x:c r="M90" s="20"/>
      <x:c r="N90" s="20"/>
      <x:c r="O90" s="23"/>
      <x:c r="P90" s="20"/>
      <x:c r="Q90" s="23"/>
      <x:c r="R90" s="20" t="str">
        <x:f>IF(A90="","",TODAY()-I90)</x:f>
      </x:c>
      <x:c r="S90" s="20" t="str">
        <x:f>IF(A90="","",IF(AND(K90&lt;&gt;"Closed",J90&lt;TODAY()),"YES","NO"))</x:f>
      </x:c>
    </x:row>
    <x:row r="91">
      <x:c r="A91" s="20"/>
      <x:c r="B91" s="20"/>
      <x:c r="C91" s="20"/>
      <x:c r="D91" s="20"/>
      <x:c r="E91" s="20"/>
      <x:c r="F91" s="20"/>
      <x:c r="G91" s="20"/>
      <x:c r="H91" s="20"/>
      <x:c r="I91" s="23"/>
      <x:c r="J91" s="23"/>
      <x:c r="K91" s="20"/>
      <x:c r="L91" s="20"/>
      <x:c r="M91" s="20"/>
      <x:c r="N91" s="20"/>
      <x:c r="O91" s="23"/>
      <x:c r="P91" s="20"/>
      <x:c r="Q91" s="23"/>
      <x:c r="R91" s="20" t="str">
        <x:f>IF(A91="","",TODAY()-I91)</x:f>
      </x:c>
      <x:c r="S91" s="20" t="str">
        <x:f>IF(A91="","",IF(AND(K91&lt;&gt;"Closed",J91&lt;TODAY()),"YES","NO"))</x:f>
      </x:c>
    </x:row>
    <x:row r="92">
      <x:c r="A92" s="20"/>
      <x:c r="B92" s="20"/>
      <x:c r="C92" s="20"/>
      <x:c r="D92" s="20"/>
      <x:c r="E92" s="20"/>
      <x:c r="F92" s="20"/>
      <x:c r="G92" s="20"/>
      <x:c r="H92" s="20"/>
      <x:c r="I92" s="23"/>
      <x:c r="J92" s="23"/>
      <x:c r="K92" s="20"/>
      <x:c r="L92" s="20"/>
      <x:c r="M92" s="20"/>
      <x:c r="N92" s="20"/>
      <x:c r="O92" s="23"/>
      <x:c r="P92" s="20"/>
      <x:c r="Q92" s="23"/>
      <x:c r="R92" s="20" t="str">
        <x:f>IF(A92="","",TODAY()-I92)</x:f>
      </x:c>
      <x:c r="S92" s="20" t="str">
        <x:f>IF(A92="","",IF(AND(K92&lt;&gt;"Closed",J92&lt;TODAY()),"YES","NO"))</x:f>
      </x:c>
    </x:row>
    <x:row r="93">
      <x:c r="A93" s="20"/>
      <x:c r="B93" s="20"/>
      <x:c r="C93" s="20"/>
      <x:c r="D93" s="20"/>
      <x:c r="E93" s="20"/>
      <x:c r="F93" s="20"/>
      <x:c r="G93" s="20"/>
      <x:c r="H93" s="20"/>
      <x:c r="I93" s="23"/>
      <x:c r="J93" s="23"/>
      <x:c r="K93" s="20"/>
      <x:c r="L93" s="20"/>
      <x:c r="M93" s="20"/>
      <x:c r="N93" s="20"/>
      <x:c r="O93" s="23"/>
      <x:c r="P93" s="20"/>
      <x:c r="Q93" s="23"/>
      <x:c r="R93" s="20" t="str">
        <x:f>IF(A93="","",TODAY()-I93)</x:f>
      </x:c>
      <x:c r="S93" s="20" t="str">
        <x:f>IF(A93="","",IF(AND(K93&lt;&gt;"Closed",J93&lt;TODAY()),"YES","NO"))</x:f>
      </x:c>
    </x:row>
    <x:row r="94">
      <x:c r="A94" s="20"/>
      <x:c r="B94" s="20"/>
      <x:c r="C94" s="20"/>
      <x:c r="D94" s="20"/>
      <x:c r="E94" s="20"/>
      <x:c r="F94" s="20"/>
      <x:c r="G94" s="20"/>
      <x:c r="H94" s="20"/>
      <x:c r="I94" s="23"/>
      <x:c r="J94" s="23"/>
      <x:c r="K94" s="20"/>
      <x:c r="L94" s="20"/>
      <x:c r="M94" s="20"/>
      <x:c r="N94" s="20"/>
      <x:c r="O94" s="23"/>
      <x:c r="P94" s="20"/>
      <x:c r="Q94" s="23"/>
      <x:c r="R94" s="20" t="str">
        <x:f>IF(A94="","",TODAY()-I94)</x:f>
      </x:c>
      <x:c r="S94" s="20" t="str">
        <x:f>IF(A94="","",IF(AND(K94&lt;&gt;"Closed",J94&lt;TODAY()),"YES","NO"))</x:f>
      </x:c>
    </x:row>
    <x:row r="95">
      <x:c r="A95" s="20"/>
      <x:c r="B95" s="20"/>
      <x:c r="C95" s="20"/>
      <x:c r="D95" s="20"/>
      <x:c r="E95" s="20"/>
      <x:c r="F95" s="20"/>
      <x:c r="G95" s="20"/>
      <x:c r="H95" s="20"/>
      <x:c r="I95" s="23"/>
      <x:c r="J95" s="23"/>
      <x:c r="K95" s="20"/>
      <x:c r="L95" s="20"/>
      <x:c r="M95" s="20"/>
      <x:c r="N95" s="20"/>
      <x:c r="O95" s="23"/>
      <x:c r="P95" s="20"/>
      <x:c r="Q95" s="23"/>
      <x:c r="R95" s="20" t="str">
        <x:f>IF(A95="","",TODAY()-I95)</x:f>
      </x:c>
      <x:c r="S95" s="20" t="str">
        <x:f>IF(A95="","",IF(AND(K95&lt;&gt;"Closed",J95&lt;TODAY()),"YES","NO"))</x:f>
      </x:c>
    </x:row>
    <x:row r="96">
      <x:c r="A96" s="20"/>
      <x:c r="B96" s="20"/>
      <x:c r="C96" s="20"/>
      <x:c r="D96" s="20"/>
      <x:c r="E96" s="20"/>
      <x:c r="F96" s="20"/>
      <x:c r="G96" s="20"/>
      <x:c r="H96" s="20"/>
      <x:c r="I96" s="23"/>
      <x:c r="J96" s="23"/>
      <x:c r="K96" s="20"/>
      <x:c r="L96" s="20"/>
      <x:c r="M96" s="20"/>
      <x:c r="N96" s="20"/>
      <x:c r="O96" s="23"/>
      <x:c r="P96" s="20"/>
      <x:c r="Q96" s="23"/>
      <x:c r="R96" s="20" t="str">
        <x:f>IF(A96="","",TODAY()-I96)</x:f>
      </x:c>
      <x:c r="S96" s="20" t="str">
        <x:f>IF(A96="","",IF(AND(K96&lt;&gt;"Closed",J96&lt;TODAY()),"YES","NO"))</x:f>
      </x:c>
    </x:row>
    <x:row r="97">
      <x:c r="A97" s="20"/>
      <x:c r="B97" s="20"/>
      <x:c r="C97" s="20"/>
      <x:c r="D97" s="20"/>
      <x:c r="E97" s="20"/>
      <x:c r="F97" s="20"/>
      <x:c r="G97" s="20"/>
      <x:c r="H97" s="20"/>
      <x:c r="I97" s="23"/>
      <x:c r="J97" s="23"/>
      <x:c r="K97" s="20"/>
      <x:c r="L97" s="20"/>
      <x:c r="M97" s="20"/>
      <x:c r="N97" s="20"/>
      <x:c r="O97" s="23"/>
      <x:c r="P97" s="20"/>
      <x:c r="Q97" s="23"/>
      <x:c r="R97" s="20" t="str">
        <x:f>IF(A97="","",TODAY()-I97)</x:f>
      </x:c>
      <x:c r="S97" s="20" t="str">
        <x:f>IF(A97="","",IF(AND(K97&lt;&gt;"Closed",J97&lt;TODAY()),"YES","NO"))</x:f>
      </x:c>
    </x:row>
    <x:row r="98">
      <x:c r="A98" s="20"/>
      <x:c r="B98" s="20"/>
      <x:c r="C98" s="20"/>
      <x:c r="D98" s="20"/>
      <x:c r="E98" s="20"/>
      <x:c r="F98" s="20"/>
      <x:c r="G98" s="20"/>
      <x:c r="H98" s="20"/>
      <x:c r="I98" s="23"/>
      <x:c r="J98" s="23"/>
      <x:c r="K98" s="20"/>
      <x:c r="L98" s="20"/>
      <x:c r="M98" s="20"/>
      <x:c r="N98" s="20"/>
      <x:c r="O98" s="23"/>
      <x:c r="P98" s="20"/>
      <x:c r="Q98" s="23"/>
      <x:c r="R98" s="20" t="str">
        <x:f>IF(A98="","",TODAY()-I98)</x:f>
      </x:c>
      <x:c r="S98" s="20" t="str">
        <x:f>IF(A98="","",IF(AND(K98&lt;&gt;"Closed",J98&lt;TODAY()),"YES","NO"))</x:f>
      </x:c>
    </x:row>
    <x:row r="99">
      <x:c r="A99" s="20"/>
      <x:c r="B99" s="20"/>
      <x:c r="C99" s="20"/>
      <x:c r="D99" s="20"/>
      <x:c r="E99" s="20"/>
      <x:c r="F99" s="20"/>
      <x:c r="G99" s="20"/>
      <x:c r="H99" s="20"/>
      <x:c r="I99" s="23"/>
      <x:c r="J99" s="23"/>
      <x:c r="K99" s="20"/>
      <x:c r="L99" s="20"/>
      <x:c r="M99" s="20"/>
      <x:c r="N99" s="20"/>
      <x:c r="O99" s="23"/>
      <x:c r="P99" s="20"/>
      <x:c r="Q99" s="23"/>
      <x:c r="R99" s="20" t="str">
        <x:f>IF(A99="","",TODAY()-I99)</x:f>
      </x:c>
      <x:c r="S99" s="20" t="str">
        <x:f>IF(A99="","",IF(AND(K99&lt;&gt;"Closed",J99&lt;TODAY()),"YES","NO"))</x:f>
      </x:c>
    </x:row>
    <x:row r="100">
      <x:c r="A100" s="20"/>
      <x:c r="B100" s="20"/>
      <x:c r="C100" s="20"/>
      <x:c r="D100" s="20"/>
      <x:c r="E100" s="20"/>
      <x:c r="F100" s="20"/>
      <x:c r="G100" s="20"/>
      <x:c r="H100" s="20"/>
      <x:c r="I100" s="23"/>
      <x:c r="J100" s="23"/>
      <x:c r="K100" s="20"/>
      <x:c r="L100" s="20"/>
      <x:c r="M100" s="20"/>
      <x:c r="N100" s="20"/>
      <x:c r="O100" s="23"/>
      <x:c r="P100" s="20"/>
      <x:c r="Q100" s="23"/>
      <x:c r="R100" s="20" t="str">
        <x:f>IF(A100="","",TODAY()-I100)</x:f>
      </x:c>
      <x:c r="S100" s="20" t="str">
        <x:f>IF(A100="","",IF(AND(K100&lt;&gt;"Closed",J100&lt;TODAY()),"YES","NO"))</x:f>
      </x:c>
    </x:row>
    <x:row r="101">
      <x:c r="A101" s="20"/>
      <x:c r="B101" s="20"/>
      <x:c r="C101" s="20"/>
      <x:c r="D101" s="20"/>
      <x:c r="E101" s="20"/>
      <x:c r="F101" s="20"/>
      <x:c r="G101" s="20"/>
      <x:c r="H101" s="20"/>
      <x:c r="I101" s="23"/>
      <x:c r="J101" s="23"/>
      <x:c r="K101" s="20"/>
      <x:c r="L101" s="20"/>
      <x:c r="M101" s="20"/>
      <x:c r="N101" s="20"/>
      <x:c r="O101" s="23"/>
      <x:c r="P101" s="20"/>
      <x:c r="Q101" s="23"/>
      <x:c r="R101" s="20" t="str">
        <x:f>IF(A101="","",TODAY()-I101)</x:f>
      </x:c>
      <x:c r="S101" s="20" t="str">
        <x:f>IF(A101="","",IF(AND(K101&lt;&gt;"Closed",J101&lt;TODAY()),"YES","NO"))</x:f>
      </x:c>
    </x:row>
    <x:row r="102">
      <x:c r="A102" s="20"/>
      <x:c r="B102" s="20"/>
      <x:c r="C102" s="20"/>
      <x:c r="D102" s="20"/>
      <x:c r="E102" s="20"/>
      <x:c r="F102" s="20"/>
      <x:c r="G102" s="20"/>
      <x:c r="H102" s="20"/>
      <x:c r="I102" s="23"/>
      <x:c r="J102" s="23"/>
      <x:c r="K102" s="20"/>
      <x:c r="L102" s="20"/>
      <x:c r="M102" s="20"/>
      <x:c r="N102" s="20"/>
      <x:c r="O102" s="23"/>
      <x:c r="P102" s="20"/>
      <x:c r="Q102" s="23"/>
      <x:c r="R102" s="20" t="str">
        <x:f>IF(A102="","",TODAY()-I102)</x:f>
      </x:c>
      <x:c r="S102" s="20" t="str">
        <x:f>IF(A102="","",IF(AND(K102&lt;&gt;"Closed",J102&lt;TODAY()),"YES","NO"))</x:f>
      </x:c>
    </x:row>
    <x:row r="103">
      <x:c r="A103" s="20"/>
      <x:c r="B103" s="20"/>
      <x:c r="C103" s="20"/>
      <x:c r="D103" s="20"/>
      <x:c r="E103" s="20"/>
      <x:c r="F103" s="20"/>
      <x:c r="G103" s="20"/>
      <x:c r="H103" s="20"/>
      <x:c r="I103" s="23"/>
      <x:c r="J103" s="23"/>
      <x:c r="K103" s="20"/>
      <x:c r="L103" s="20"/>
      <x:c r="M103" s="20"/>
      <x:c r="N103" s="20"/>
      <x:c r="O103" s="23"/>
      <x:c r="P103" s="20"/>
      <x:c r="Q103" s="23"/>
      <x:c r="R103" s="20" t="str">
        <x:f>IF(A103="","",TODAY()-I103)</x:f>
      </x:c>
      <x:c r="S103" s="20" t="str">
        <x:f>IF(A103="","",IF(AND(K103&lt;&gt;"Closed",J103&lt;TODAY()),"YES","NO"))</x:f>
      </x:c>
    </x:row>
    <x:row r="104">
      <x:c r="A104" s="20"/>
      <x:c r="B104" s="20"/>
      <x:c r="C104" s="20"/>
      <x:c r="D104" s="20"/>
      <x:c r="E104" s="20"/>
      <x:c r="F104" s="20"/>
      <x:c r="G104" s="20"/>
      <x:c r="H104" s="20"/>
      <x:c r="I104" s="23"/>
      <x:c r="J104" s="23"/>
      <x:c r="K104" s="20"/>
      <x:c r="L104" s="20"/>
      <x:c r="M104" s="20"/>
      <x:c r="N104" s="20"/>
      <x:c r="O104" s="23"/>
      <x:c r="P104" s="20"/>
      <x:c r="Q104" s="23"/>
      <x:c r="R104" s="20" t="str">
        <x:f>IF(A104="","",TODAY()-I104)</x:f>
      </x:c>
      <x:c r="S104" s="20" t="str">
        <x:f>IF(A104="","",IF(AND(K104&lt;&gt;"Closed",J104&lt;TODAY()),"YES","NO"))</x:f>
      </x:c>
    </x:row>
    <x:row r="105">
      <x:c r="A105" s="20"/>
      <x:c r="B105" s="20"/>
      <x:c r="C105" s="20"/>
      <x:c r="D105" s="20"/>
      <x:c r="E105" s="20"/>
      <x:c r="F105" s="20"/>
      <x:c r="G105" s="20"/>
      <x:c r="H105" s="20"/>
      <x:c r="I105" s="23"/>
      <x:c r="J105" s="23"/>
      <x:c r="K105" s="20"/>
      <x:c r="L105" s="20"/>
      <x:c r="M105" s="20"/>
      <x:c r="N105" s="20"/>
      <x:c r="O105" s="23"/>
      <x:c r="P105" s="20"/>
      <x:c r="Q105" s="23"/>
      <x:c r="R105" s="20" t="str">
        <x:f>IF(A105="","",TODAY()-I105)</x:f>
      </x:c>
      <x:c r="S105" s="20" t="str">
        <x:f>IF(A105="","",IF(AND(K105&lt;&gt;"Closed",J105&lt;TODAY()),"YES","NO"))</x:f>
      </x:c>
    </x:row>
    <x:row r="106">
      <x:c r="A106" s="20"/>
      <x:c r="B106" s="20"/>
      <x:c r="C106" s="20"/>
      <x:c r="D106" s="20"/>
      <x:c r="E106" s="20"/>
      <x:c r="F106" s="20"/>
      <x:c r="G106" s="20"/>
      <x:c r="H106" s="20"/>
      <x:c r="I106" s="23"/>
      <x:c r="J106" s="23"/>
      <x:c r="K106" s="20"/>
      <x:c r="L106" s="20"/>
      <x:c r="M106" s="20"/>
      <x:c r="N106" s="20"/>
      <x:c r="O106" s="23"/>
      <x:c r="P106" s="20"/>
      <x:c r="Q106" s="23"/>
      <x:c r="R106" s="20" t="str">
        <x:f>IF(A106="","",TODAY()-I106)</x:f>
      </x:c>
      <x:c r="S106" s="20" t="str">
        <x:f>IF(A106="","",IF(AND(K106&lt;&gt;"Closed",J106&lt;TODAY()),"YES","NO"))</x:f>
      </x:c>
    </x:row>
    <x:row r="107">
      <x:c r="A107" s="20"/>
      <x:c r="B107" s="20"/>
      <x:c r="C107" s="20"/>
      <x:c r="D107" s="20"/>
      <x:c r="E107" s="20"/>
      <x:c r="F107" s="20"/>
      <x:c r="G107" s="20"/>
      <x:c r="H107" s="20"/>
      <x:c r="I107" s="23"/>
      <x:c r="J107" s="23"/>
      <x:c r="K107" s="20"/>
      <x:c r="L107" s="20"/>
      <x:c r="M107" s="20"/>
      <x:c r="N107" s="20"/>
      <x:c r="O107" s="23"/>
      <x:c r="P107" s="20"/>
      <x:c r="Q107" s="23"/>
      <x:c r="R107" s="20" t="str">
        <x:f>IF(A107="","",TODAY()-I107)</x:f>
      </x:c>
      <x:c r="S107" s="20" t="str">
        <x:f>IF(A107="","",IF(AND(K107&lt;&gt;"Closed",J107&lt;TODAY()),"YES","NO"))</x:f>
      </x:c>
    </x:row>
    <x:row r="108">
      <x:c r="A108" s="20"/>
      <x:c r="B108" s="20"/>
      <x:c r="C108" s="20"/>
      <x:c r="D108" s="20"/>
      <x:c r="E108" s="20"/>
      <x:c r="F108" s="20"/>
      <x:c r="G108" s="20"/>
      <x:c r="H108" s="20"/>
      <x:c r="I108" s="23"/>
      <x:c r="J108" s="23"/>
      <x:c r="K108" s="20"/>
      <x:c r="L108" s="20"/>
      <x:c r="M108" s="20"/>
      <x:c r="N108" s="20"/>
      <x:c r="O108" s="23"/>
      <x:c r="P108" s="20"/>
      <x:c r="Q108" s="23"/>
      <x:c r="R108" s="20" t="str">
        <x:f>IF(A108="","",TODAY()-I108)</x:f>
      </x:c>
      <x:c r="S108" s="20" t="str">
        <x:f>IF(A108="","",IF(AND(K108&lt;&gt;"Closed",J108&lt;TODAY()),"YES","NO"))</x:f>
      </x:c>
    </x:row>
    <x:row r="109">
      <x:c r="A109" s="20"/>
      <x:c r="B109" s="20"/>
      <x:c r="C109" s="20"/>
      <x:c r="D109" s="20"/>
      <x:c r="E109" s="20"/>
      <x:c r="F109" s="20"/>
      <x:c r="G109" s="20"/>
      <x:c r="H109" s="20"/>
      <x:c r="I109" s="23"/>
      <x:c r="J109" s="23"/>
      <x:c r="K109" s="20"/>
      <x:c r="L109" s="20"/>
      <x:c r="M109" s="20"/>
      <x:c r="N109" s="20"/>
      <x:c r="O109" s="23"/>
      <x:c r="P109" s="20"/>
      <x:c r="Q109" s="23"/>
      <x:c r="R109" s="20" t="str">
        <x:f>IF(A109="","",TODAY()-I109)</x:f>
      </x:c>
      <x:c r="S109" s="20" t="str">
        <x:f>IF(A109="","",IF(AND(K109&lt;&gt;"Closed",J109&lt;TODAY()),"YES","NO"))</x:f>
      </x:c>
    </x:row>
    <x:row r="110">
      <x:c r="A110" s="20"/>
      <x:c r="B110" s="20"/>
      <x:c r="C110" s="20"/>
      <x:c r="D110" s="20"/>
      <x:c r="E110" s="20"/>
      <x:c r="F110" s="20"/>
      <x:c r="G110" s="20"/>
      <x:c r="H110" s="20"/>
      <x:c r="I110" s="23"/>
      <x:c r="J110" s="23"/>
      <x:c r="K110" s="20"/>
      <x:c r="L110" s="20"/>
      <x:c r="M110" s="20"/>
      <x:c r="N110" s="20"/>
      <x:c r="O110" s="23"/>
      <x:c r="P110" s="20"/>
      <x:c r="Q110" s="23"/>
      <x:c r="R110" s="20" t="str">
        <x:f>IF(A110="","",TODAY()-I110)</x:f>
      </x:c>
      <x:c r="S110" s="20" t="str">
        <x:f>IF(A110="","",IF(AND(K110&lt;&gt;"Closed",J110&lt;TODAY()),"YES","NO"))</x:f>
      </x:c>
    </x:row>
    <x:row r="111">
      <x:c r="A111" s="20"/>
      <x:c r="B111" s="20"/>
      <x:c r="C111" s="20"/>
      <x:c r="D111" s="20"/>
      <x:c r="E111" s="20"/>
      <x:c r="F111" s="20"/>
      <x:c r="G111" s="20"/>
      <x:c r="H111" s="20"/>
      <x:c r="I111" s="23"/>
      <x:c r="J111" s="23"/>
      <x:c r="K111" s="20"/>
      <x:c r="L111" s="20"/>
      <x:c r="M111" s="20"/>
      <x:c r="N111" s="20"/>
      <x:c r="O111" s="23"/>
      <x:c r="P111" s="20"/>
      <x:c r="Q111" s="23"/>
      <x:c r="R111" s="20" t="str">
        <x:f>IF(A111="","",TODAY()-I111)</x:f>
      </x:c>
      <x:c r="S111" s="20" t="str">
        <x:f>IF(A111="","",IF(AND(K111&lt;&gt;"Closed",J111&lt;TODAY()),"YES","NO"))</x:f>
      </x:c>
    </x:row>
    <x:row r="112">
      <x:c r="A112" s="20"/>
      <x:c r="B112" s="20"/>
      <x:c r="C112" s="20"/>
      <x:c r="D112" s="20"/>
      <x:c r="E112" s="20"/>
      <x:c r="F112" s="20"/>
      <x:c r="G112" s="20"/>
      <x:c r="H112" s="20"/>
      <x:c r="I112" s="23"/>
      <x:c r="J112" s="23"/>
      <x:c r="K112" s="20"/>
      <x:c r="L112" s="20"/>
      <x:c r="M112" s="20"/>
      <x:c r="N112" s="20"/>
      <x:c r="O112" s="23"/>
      <x:c r="P112" s="20"/>
      <x:c r="Q112" s="23"/>
      <x:c r="R112" s="20" t="str">
        <x:f>IF(A112="","",TODAY()-I112)</x:f>
      </x:c>
      <x:c r="S112" s="20" t="str">
        <x:f>IF(A112="","",IF(AND(K112&lt;&gt;"Closed",J112&lt;TODAY()),"YES","NO"))</x:f>
      </x:c>
    </x:row>
    <x:row r="113">
      <x:c r="A113" s="20"/>
      <x:c r="B113" s="20"/>
      <x:c r="C113" s="20"/>
      <x:c r="D113" s="20"/>
      <x:c r="E113" s="20"/>
      <x:c r="F113" s="20"/>
      <x:c r="G113" s="20"/>
      <x:c r="H113" s="20"/>
      <x:c r="I113" s="23"/>
      <x:c r="J113" s="23"/>
      <x:c r="K113" s="20"/>
      <x:c r="L113" s="20"/>
      <x:c r="M113" s="20"/>
      <x:c r="N113" s="20"/>
      <x:c r="O113" s="23"/>
      <x:c r="P113" s="20"/>
      <x:c r="Q113" s="23"/>
      <x:c r="R113" s="20" t="str">
        <x:f>IF(A113="","",TODAY()-I113)</x:f>
      </x:c>
      <x:c r="S113" s="20" t="str">
        <x:f>IF(A113="","",IF(AND(K113&lt;&gt;"Closed",J113&lt;TODAY()),"YES","NO"))</x:f>
      </x:c>
    </x:row>
    <x:row r="114">
      <x:c r="A114" s="20"/>
      <x:c r="B114" s="20"/>
      <x:c r="C114" s="20"/>
      <x:c r="D114" s="20"/>
      <x:c r="E114" s="20"/>
      <x:c r="F114" s="20"/>
      <x:c r="G114" s="20"/>
      <x:c r="H114" s="20"/>
      <x:c r="I114" s="23"/>
      <x:c r="J114" s="23"/>
      <x:c r="K114" s="20"/>
      <x:c r="L114" s="20"/>
      <x:c r="M114" s="20"/>
      <x:c r="N114" s="20"/>
      <x:c r="O114" s="23"/>
      <x:c r="P114" s="20"/>
      <x:c r="Q114" s="23"/>
      <x:c r="R114" s="20" t="str">
        <x:f>IF(A114="","",TODAY()-I114)</x:f>
      </x:c>
      <x:c r="S114" s="20" t="str">
        <x:f>IF(A114="","",IF(AND(K114&lt;&gt;"Closed",J114&lt;TODAY()),"YES","NO"))</x:f>
      </x:c>
    </x:row>
    <x:row r="115">
      <x:c r="A115" s="20"/>
      <x:c r="B115" s="20"/>
      <x:c r="C115" s="20"/>
      <x:c r="D115" s="20"/>
      <x:c r="E115" s="20"/>
      <x:c r="F115" s="20"/>
      <x:c r="G115" s="20"/>
      <x:c r="H115" s="20"/>
      <x:c r="I115" s="23"/>
      <x:c r="J115" s="23"/>
      <x:c r="K115" s="20"/>
      <x:c r="L115" s="20"/>
      <x:c r="M115" s="20"/>
      <x:c r="N115" s="20"/>
      <x:c r="O115" s="23"/>
      <x:c r="P115" s="20"/>
      <x:c r="Q115" s="23"/>
      <x:c r="R115" s="20" t="str">
        <x:f>IF(A115="","",TODAY()-I115)</x:f>
      </x:c>
      <x:c r="S115" s="20" t="str">
        <x:f>IF(A115="","",IF(AND(K115&lt;&gt;"Closed",J115&lt;TODAY()),"YES","NO"))</x:f>
      </x:c>
    </x:row>
    <x:row r="116">
      <x:c r="A116" s="20"/>
      <x:c r="B116" s="20"/>
      <x:c r="C116" s="20"/>
      <x:c r="D116" s="20"/>
      <x:c r="E116" s="20"/>
      <x:c r="F116" s="20"/>
      <x:c r="G116" s="20"/>
      <x:c r="H116" s="20"/>
      <x:c r="I116" s="23"/>
      <x:c r="J116" s="23"/>
      <x:c r="K116" s="20"/>
      <x:c r="L116" s="20"/>
      <x:c r="M116" s="20"/>
      <x:c r="N116" s="20"/>
      <x:c r="O116" s="23"/>
      <x:c r="P116" s="20"/>
      <x:c r="Q116" s="23"/>
      <x:c r="R116" s="20" t="str">
        <x:f>IF(A116="","",TODAY()-I116)</x:f>
      </x:c>
      <x:c r="S116" s="20" t="str">
        <x:f>IF(A116="","",IF(AND(K116&lt;&gt;"Closed",J116&lt;TODAY()),"YES","NO"))</x:f>
      </x:c>
    </x:row>
    <x:row r="117">
      <x:c r="A117" s="20"/>
      <x:c r="B117" s="20"/>
      <x:c r="C117" s="20"/>
      <x:c r="D117" s="20"/>
      <x:c r="E117" s="20"/>
      <x:c r="F117" s="20"/>
      <x:c r="G117" s="20"/>
      <x:c r="H117" s="20"/>
      <x:c r="I117" s="23"/>
      <x:c r="J117" s="23"/>
      <x:c r="K117" s="20"/>
      <x:c r="L117" s="20"/>
      <x:c r="M117" s="20"/>
      <x:c r="N117" s="20"/>
      <x:c r="O117" s="23"/>
      <x:c r="P117" s="20"/>
      <x:c r="Q117" s="23"/>
      <x:c r="R117" s="20" t="str">
        <x:f>IF(A117="","",TODAY()-I117)</x:f>
      </x:c>
      <x:c r="S117" s="20" t="str">
        <x:f>IF(A117="","",IF(AND(K117&lt;&gt;"Closed",J117&lt;TODAY()),"YES","NO"))</x:f>
      </x:c>
    </x:row>
    <x:row r="118">
      <x:c r="A118" s="20"/>
      <x:c r="B118" s="20"/>
      <x:c r="C118" s="20"/>
      <x:c r="D118" s="20"/>
      <x:c r="E118" s="20"/>
      <x:c r="F118" s="20"/>
      <x:c r="G118" s="20"/>
      <x:c r="H118" s="20"/>
      <x:c r="I118" s="23"/>
      <x:c r="J118" s="23"/>
      <x:c r="K118" s="20"/>
      <x:c r="L118" s="20"/>
      <x:c r="M118" s="20"/>
      <x:c r="N118" s="20"/>
      <x:c r="O118" s="23"/>
      <x:c r="P118" s="20"/>
      <x:c r="Q118" s="23"/>
      <x:c r="R118" s="20" t="str">
        <x:f>IF(A118="","",TODAY()-I118)</x:f>
      </x:c>
      <x:c r="S118" s="20" t="str">
        <x:f>IF(A118="","",IF(AND(K118&lt;&gt;"Closed",J118&lt;TODAY()),"YES","NO"))</x:f>
      </x:c>
    </x:row>
    <x:row r="119">
      <x:c r="A119" s="20"/>
      <x:c r="B119" s="20"/>
      <x:c r="C119" s="20"/>
      <x:c r="D119" s="20"/>
      <x:c r="E119" s="20"/>
      <x:c r="F119" s="20"/>
      <x:c r="G119" s="20"/>
      <x:c r="H119" s="20"/>
      <x:c r="I119" s="23"/>
      <x:c r="J119" s="23"/>
      <x:c r="K119" s="20"/>
      <x:c r="L119" s="20"/>
      <x:c r="M119" s="20"/>
      <x:c r="N119" s="20"/>
      <x:c r="O119" s="23"/>
      <x:c r="P119" s="20"/>
      <x:c r="Q119" s="23"/>
      <x:c r="R119" s="20" t="str">
        <x:f>IF(A119="","",TODAY()-I119)</x:f>
      </x:c>
      <x:c r="S119" s="20" t="str">
        <x:f>IF(A119="","",IF(AND(K119&lt;&gt;"Closed",J119&lt;TODAY()),"YES","NO"))</x:f>
      </x:c>
    </x:row>
    <x:row r="120">
      <x:c r="A120" s="20"/>
      <x:c r="B120" s="20"/>
      <x:c r="C120" s="20"/>
      <x:c r="D120" s="20"/>
      <x:c r="E120" s="20"/>
      <x:c r="F120" s="20"/>
      <x:c r="G120" s="20"/>
      <x:c r="H120" s="20"/>
      <x:c r="I120" s="23"/>
      <x:c r="J120" s="23"/>
      <x:c r="K120" s="20"/>
      <x:c r="L120" s="20"/>
      <x:c r="M120" s="20"/>
      <x:c r="N120" s="20"/>
      <x:c r="O120" s="23"/>
      <x:c r="P120" s="20"/>
      <x:c r="Q120" s="23"/>
      <x:c r="R120" s="20" t="str">
        <x:f>IF(A120="","",TODAY()-I120)</x:f>
      </x:c>
      <x:c r="S120" s="20" t="str">
        <x:f>IF(A120="","",IF(AND(K120&lt;&gt;"Closed",J120&lt;TODAY()),"YES","NO"))</x:f>
      </x:c>
    </x:row>
    <x:row r="121">
      <x:c r="A121" s="20"/>
      <x:c r="B121" s="20"/>
      <x:c r="C121" s="20"/>
      <x:c r="D121" s="20"/>
      <x:c r="E121" s="20"/>
      <x:c r="F121" s="20"/>
      <x:c r="G121" s="20"/>
      <x:c r="H121" s="20"/>
      <x:c r="I121" s="23"/>
      <x:c r="J121" s="23"/>
      <x:c r="K121" s="20"/>
      <x:c r="L121" s="20"/>
      <x:c r="M121" s="20"/>
      <x:c r="N121" s="20"/>
      <x:c r="O121" s="23"/>
      <x:c r="P121" s="20"/>
      <x:c r="Q121" s="23"/>
      <x:c r="R121" s="20" t="str">
        <x:f>IF(A121="","",TODAY()-I121)</x:f>
      </x:c>
      <x:c r="S121" s="20" t="str">
        <x:f>IF(A121="","",IF(AND(K121&lt;&gt;"Closed",J121&lt;TODAY()),"YES","NO"))</x:f>
      </x:c>
    </x:row>
    <x:row r="122">
      <x:c r="A122" s="20"/>
      <x:c r="B122" s="20"/>
      <x:c r="C122" s="20"/>
      <x:c r="D122" s="20"/>
      <x:c r="E122" s="20"/>
      <x:c r="F122" s="20"/>
      <x:c r="G122" s="20"/>
      <x:c r="H122" s="20"/>
      <x:c r="I122" s="23"/>
      <x:c r="J122" s="23"/>
      <x:c r="K122" s="20"/>
      <x:c r="L122" s="20"/>
      <x:c r="M122" s="20"/>
      <x:c r="N122" s="20"/>
      <x:c r="O122" s="23"/>
      <x:c r="P122" s="20"/>
      <x:c r="Q122" s="23"/>
      <x:c r="R122" s="20" t="str">
        <x:f>IF(A122="","",TODAY()-I122)</x:f>
      </x:c>
      <x:c r="S122" s="20" t="str">
        <x:f>IF(A122="","",IF(AND(K122&lt;&gt;"Closed",J122&lt;TODAY()),"YES","NO"))</x:f>
      </x:c>
    </x:row>
    <x:row r="123">
      <x:c r="A123" s="20"/>
      <x:c r="B123" s="20"/>
      <x:c r="C123" s="20"/>
      <x:c r="D123" s="20"/>
      <x:c r="E123" s="20"/>
      <x:c r="F123" s="20"/>
      <x:c r="G123" s="20"/>
      <x:c r="H123" s="20"/>
      <x:c r="I123" s="23"/>
      <x:c r="J123" s="23"/>
      <x:c r="K123" s="20"/>
      <x:c r="L123" s="20"/>
      <x:c r="M123" s="20"/>
      <x:c r="N123" s="20"/>
      <x:c r="O123" s="23"/>
      <x:c r="P123" s="20"/>
      <x:c r="Q123" s="23"/>
      <x:c r="R123" s="20" t="str">
        <x:f>IF(A123="","",TODAY()-I123)</x:f>
      </x:c>
      <x:c r="S123" s="20" t="str">
        <x:f>IF(A123="","",IF(AND(K123&lt;&gt;"Closed",J123&lt;TODAY()),"YES","NO"))</x:f>
      </x:c>
    </x:row>
    <x:row r="124">
      <x:c r="A124" s="20"/>
      <x:c r="B124" s="20"/>
      <x:c r="C124" s="20"/>
      <x:c r="D124" s="20"/>
      <x:c r="E124" s="20"/>
      <x:c r="F124" s="20"/>
      <x:c r="G124" s="20"/>
      <x:c r="H124" s="20"/>
      <x:c r="I124" s="23"/>
      <x:c r="J124" s="23"/>
      <x:c r="K124" s="20"/>
      <x:c r="L124" s="20"/>
      <x:c r="M124" s="20"/>
      <x:c r="N124" s="20"/>
      <x:c r="O124" s="23"/>
      <x:c r="P124" s="20"/>
      <x:c r="Q124" s="23"/>
      <x:c r="R124" s="20" t="str">
        <x:f>IF(A124="","",TODAY()-I124)</x:f>
      </x:c>
      <x:c r="S124" s="20" t="str">
        <x:f>IF(A124="","",IF(AND(K124&lt;&gt;"Closed",J124&lt;TODAY()),"YES","NO"))</x:f>
      </x:c>
    </x:row>
    <x:row r="125">
      <x:c r="A125" s="20"/>
      <x:c r="B125" s="20"/>
      <x:c r="C125" s="20"/>
      <x:c r="D125" s="20"/>
      <x:c r="E125" s="20"/>
      <x:c r="F125" s="20"/>
      <x:c r="G125" s="20"/>
      <x:c r="H125" s="20"/>
      <x:c r="I125" s="23"/>
      <x:c r="J125" s="23"/>
      <x:c r="K125" s="20"/>
      <x:c r="L125" s="20"/>
      <x:c r="M125" s="20"/>
      <x:c r="N125" s="20"/>
      <x:c r="O125" s="23"/>
      <x:c r="P125" s="20"/>
      <x:c r="Q125" s="23"/>
      <x:c r="R125" s="20" t="str">
        <x:f>IF(A125="","",TODAY()-I125)</x:f>
      </x:c>
      <x:c r="S125" s="20" t="str">
        <x:f>IF(A125="","",IF(AND(K125&lt;&gt;"Closed",J125&lt;TODAY()),"YES","NO"))</x:f>
      </x:c>
    </x:row>
    <x:row r="126">
      <x:c r="A126" s="20"/>
      <x:c r="B126" s="20"/>
      <x:c r="C126" s="20"/>
      <x:c r="D126" s="20"/>
      <x:c r="E126" s="20"/>
      <x:c r="F126" s="20"/>
      <x:c r="G126" s="20"/>
      <x:c r="H126" s="20"/>
      <x:c r="I126" s="23"/>
      <x:c r="J126" s="23"/>
      <x:c r="K126" s="20"/>
      <x:c r="L126" s="20"/>
      <x:c r="M126" s="20"/>
      <x:c r="N126" s="20"/>
      <x:c r="O126" s="23"/>
      <x:c r="P126" s="20"/>
      <x:c r="Q126" s="23"/>
      <x:c r="R126" s="20" t="str">
        <x:f>IF(A126="","",TODAY()-I126)</x:f>
      </x:c>
      <x:c r="S126" s="20" t="str">
        <x:f>IF(A126="","",IF(AND(K126&lt;&gt;"Closed",J126&lt;TODAY()),"YES","NO"))</x:f>
      </x:c>
    </x:row>
    <x:row r="127">
      <x:c r="A127" s="20"/>
      <x:c r="B127" s="20"/>
      <x:c r="C127" s="20"/>
      <x:c r="D127" s="20"/>
      <x:c r="E127" s="20"/>
      <x:c r="F127" s="20"/>
      <x:c r="G127" s="20"/>
      <x:c r="H127" s="20"/>
      <x:c r="I127" s="23"/>
      <x:c r="J127" s="23"/>
      <x:c r="K127" s="20"/>
      <x:c r="L127" s="20"/>
      <x:c r="M127" s="20"/>
      <x:c r="N127" s="20"/>
      <x:c r="O127" s="23"/>
      <x:c r="P127" s="20"/>
      <x:c r="Q127" s="23"/>
      <x:c r="R127" s="20" t="str">
        <x:f>IF(A127="","",TODAY()-I127)</x:f>
      </x:c>
      <x:c r="S127" s="20" t="str">
        <x:f>IF(A127="","",IF(AND(K127&lt;&gt;"Closed",J127&lt;TODAY()),"YES","NO"))</x:f>
      </x:c>
    </x:row>
    <x:row r="128">
      <x:c r="A128" s="20"/>
      <x:c r="B128" s="20"/>
      <x:c r="C128" s="20"/>
      <x:c r="D128" s="20"/>
      <x:c r="E128" s="20"/>
      <x:c r="F128" s="20"/>
      <x:c r="G128" s="20"/>
      <x:c r="H128" s="20"/>
      <x:c r="I128" s="23"/>
      <x:c r="J128" s="23"/>
      <x:c r="K128" s="20"/>
      <x:c r="L128" s="20"/>
      <x:c r="M128" s="20"/>
      <x:c r="N128" s="20"/>
      <x:c r="O128" s="23"/>
      <x:c r="P128" s="20"/>
      <x:c r="Q128" s="23"/>
      <x:c r="R128" s="20" t="str">
        <x:f>IF(A128="","",TODAY()-I128)</x:f>
      </x:c>
      <x:c r="S128" s="20" t="str">
        <x:f>IF(A128="","",IF(AND(K128&lt;&gt;"Closed",J128&lt;TODAY()),"YES","NO"))</x:f>
      </x:c>
    </x:row>
    <x:row r="129">
      <x:c r="A129" s="20"/>
      <x:c r="B129" s="20"/>
      <x:c r="C129" s="20"/>
      <x:c r="D129" s="20"/>
      <x:c r="E129" s="20"/>
      <x:c r="F129" s="20"/>
      <x:c r="G129" s="20"/>
      <x:c r="H129" s="20"/>
      <x:c r="I129" s="23"/>
      <x:c r="J129" s="23"/>
      <x:c r="K129" s="20"/>
      <x:c r="L129" s="20"/>
      <x:c r="M129" s="20"/>
      <x:c r="N129" s="20"/>
      <x:c r="O129" s="23"/>
      <x:c r="P129" s="20"/>
      <x:c r="Q129" s="23"/>
      <x:c r="R129" s="20" t="str">
        <x:f>IF(A129="","",TODAY()-I129)</x:f>
      </x:c>
      <x:c r="S129" s="20" t="str">
        <x:f>IF(A129="","",IF(AND(K129&lt;&gt;"Closed",J129&lt;TODAY()),"YES","NO"))</x:f>
      </x:c>
    </x:row>
    <x:row r="130">
      <x:c r="A130" s="20"/>
      <x:c r="B130" s="20"/>
      <x:c r="C130" s="20"/>
      <x:c r="D130" s="20"/>
      <x:c r="E130" s="20"/>
      <x:c r="F130" s="20"/>
      <x:c r="G130" s="20"/>
      <x:c r="H130" s="20"/>
      <x:c r="I130" s="23"/>
      <x:c r="J130" s="23"/>
      <x:c r="K130" s="20"/>
      <x:c r="L130" s="20"/>
      <x:c r="M130" s="20"/>
      <x:c r="N130" s="20"/>
      <x:c r="O130" s="23"/>
      <x:c r="P130" s="20"/>
      <x:c r="Q130" s="23"/>
      <x:c r="R130" s="20" t="str">
        <x:f>IF(A130="","",TODAY()-I130)</x:f>
      </x:c>
      <x:c r="S130" s="20" t="str">
        <x:f>IF(A130="","",IF(AND(K130&lt;&gt;"Closed",J130&lt;TODAY()),"YES","NO"))</x:f>
      </x:c>
    </x:row>
    <x:row r="131">
      <x:c r="A131" s="20"/>
      <x:c r="B131" s="20"/>
      <x:c r="C131" s="20"/>
      <x:c r="D131" s="20"/>
      <x:c r="E131" s="20"/>
      <x:c r="F131" s="20"/>
      <x:c r="G131" s="20"/>
      <x:c r="H131" s="20"/>
      <x:c r="I131" s="23"/>
      <x:c r="J131" s="23"/>
      <x:c r="K131" s="20"/>
      <x:c r="L131" s="20"/>
      <x:c r="M131" s="20"/>
      <x:c r="N131" s="20"/>
      <x:c r="O131" s="23"/>
      <x:c r="P131" s="20"/>
      <x:c r="Q131" s="23"/>
      <x:c r="R131" s="20" t="str">
        <x:f>IF(A131="","",TODAY()-I131)</x:f>
      </x:c>
      <x:c r="S131" s="20" t="str">
        <x:f>IF(A131="","",IF(AND(K131&lt;&gt;"Closed",J131&lt;TODAY()),"YES","NO"))</x:f>
      </x:c>
    </x:row>
    <x:row r="132">
      <x:c r="A132" s="20"/>
      <x:c r="B132" s="20"/>
      <x:c r="C132" s="20"/>
      <x:c r="D132" s="20"/>
      <x:c r="E132" s="20"/>
      <x:c r="F132" s="20"/>
      <x:c r="G132" s="20"/>
      <x:c r="H132" s="20"/>
      <x:c r="I132" s="23"/>
      <x:c r="J132" s="23"/>
      <x:c r="K132" s="20"/>
      <x:c r="L132" s="20"/>
      <x:c r="M132" s="20"/>
      <x:c r="N132" s="20"/>
      <x:c r="O132" s="23"/>
      <x:c r="P132" s="20"/>
      <x:c r="Q132" s="23"/>
      <x:c r="R132" s="20" t="str">
        <x:f>IF(A132="","",TODAY()-I132)</x:f>
      </x:c>
      <x:c r="S132" s="20" t="str">
        <x:f>IF(A132="","",IF(AND(K132&lt;&gt;"Closed",J132&lt;TODAY()),"YES","NO"))</x:f>
      </x:c>
    </x:row>
    <x:row r="133">
      <x:c r="A133" s="20"/>
      <x:c r="B133" s="20"/>
      <x:c r="C133" s="20"/>
      <x:c r="D133" s="20"/>
      <x:c r="E133" s="20"/>
      <x:c r="F133" s="20"/>
      <x:c r="G133" s="20"/>
      <x:c r="H133" s="20"/>
      <x:c r="I133" s="23"/>
      <x:c r="J133" s="23"/>
      <x:c r="K133" s="20"/>
      <x:c r="L133" s="20"/>
      <x:c r="M133" s="20"/>
      <x:c r="N133" s="20"/>
      <x:c r="O133" s="23"/>
      <x:c r="P133" s="20"/>
      <x:c r="Q133" s="23"/>
      <x:c r="R133" s="20" t="str">
        <x:f>IF(A133="","",TODAY()-I133)</x:f>
      </x:c>
      <x:c r="S133" s="20" t="str">
        <x:f>IF(A133="","",IF(AND(K133&lt;&gt;"Closed",J133&lt;TODAY()),"YES","NO"))</x:f>
      </x:c>
    </x:row>
    <x:row r="134">
      <x:c r="A134" s="20"/>
      <x:c r="B134" s="20"/>
      <x:c r="C134" s="20"/>
      <x:c r="D134" s="20"/>
      <x:c r="E134" s="20"/>
      <x:c r="F134" s="20"/>
      <x:c r="G134" s="20"/>
      <x:c r="H134" s="20"/>
      <x:c r="I134" s="23"/>
      <x:c r="J134" s="23"/>
      <x:c r="K134" s="20"/>
      <x:c r="L134" s="20"/>
      <x:c r="M134" s="20"/>
      <x:c r="N134" s="20"/>
      <x:c r="O134" s="23"/>
      <x:c r="P134" s="20"/>
      <x:c r="Q134" s="23"/>
      <x:c r="R134" s="20" t="str">
        <x:f>IF(A134="","",TODAY()-I134)</x:f>
      </x:c>
      <x:c r="S134" s="20" t="str">
        <x:f>IF(A134="","",IF(AND(K134&lt;&gt;"Closed",J134&lt;TODAY()),"YES","NO"))</x:f>
      </x:c>
    </x:row>
    <x:row r="135">
      <x:c r="A135" s="20"/>
      <x:c r="B135" s="20"/>
      <x:c r="C135" s="20"/>
      <x:c r="D135" s="20"/>
      <x:c r="E135" s="20"/>
      <x:c r="F135" s="20"/>
      <x:c r="G135" s="20"/>
      <x:c r="H135" s="20"/>
      <x:c r="I135" s="23"/>
      <x:c r="J135" s="23"/>
      <x:c r="K135" s="20"/>
      <x:c r="L135" s="20"/>
      <x:c r="M135" s="20"/>
      <x:c r="N135" s="20"/>
      <x:c r="O135" s="23"/>
      <x:c r="P135" s="20"/>
      <x:c r="Q135" s="23"/>
      <x:c r="R135" s="20" t="str">
        <x:f>IF(A135="","",TODAY()-I135)</x:f>
      </x:c>
      <x:c r="S135" s="20" t="str">
        <x:f>IF(A135="","",IF(AND(K135&lt;&gt;"Closed",J135&lt;TODAY()),"YES","NO"))</x:f>
      </x:c>
    </x:row>
    <x:row r="136">
      <x:c r="A136" s="20"/>
      <x:c r="B136" s="20"/>
      <x:c r="C136" s="20"/>
      <x:c r="D136" s="20"/>
      <x:c r="E136" s="20"/>
      <x:c r="F136" s="20"/>
      <x:c r="G136" s="20"/>
      <x:c r="H136" s="20"/>
      <x:c r="I136" s="23"/>
      <x:c r="J136" s="23"/>
      <x:c r="K136" s="20"/>
      <x:c r="L136" s="20"/>
      <x:c r="M136" s="20"/>
      <x:c r="N136" s="20"/>
      <x:c r="O136" s="23"/>
      <x:c r="P136" s="20"/>
      <x:c r="Q136" s="23"/>
      <x:c r="R136" s="20" t="str">
        <x:f>IF(A136="","",TODAY()-I136)</x:f>
      </x:c>
      <x:c r="S136" s="20" t="str">
        <x:f>IF(A136="","",IF(AND(K136&lt;&gt;"Closed",J136&lt;TODAY()),"YES","NO"))</x:f>
      </x:c>
    </x:row>
    <x:row r="137">
      <x:c r="A137" s="20"/>
      <x:c r="B137" s="20"/>
      <x:c r="C137" s="20"/>
      <x:c r="D137" s="20"/>
      <x:c r="E137" s="20"/>
      <x:c r="F137" s="20"/>
      <x:c r="G137" s="20"/>
      <x:c r="H137" s="20"/>
      <x:c r="I137" s="23"/>
      <x:c r="J137" s="23"/>
      <x:c r="K137" s="20"/>
      <x:c r="L137" s="20"/>
      <x:c r="M137" s="20"/>
      <x:c r="N137" s="20"/>
      <x:c r="O137" s="23"/>
      <x:c r="P137" s="20"/>
      <x:c r="Q137" s="23"/>
      <x:c r="R137" s="20" t="str">
        <x:f>IF(A137="","",TODAY()-I137)</x:f>
      </x:c>
      <x:c r="S137" s="20" t="str">
        <x:f>IF(A137="","",IF(AND(K137&lt;&gt;"Closed",J137&lt;TODAY()),"YES","NO"))</x:f>
      </x:c>
    </x:row>
    <x:row r="138">
      <x:c r="A138" s="20"/>
      <x:c r="B138" s="20"/>
      <x:c r="C138" s="20"/>
      <x:c r="D138" s="20"/>
      <x:c r="E138" s="20"/>
      <x:c r="F138" s="20"/>
      <x:c r="G138" s="20"/>
      <x:c r="H138" s="20"/>
      <x:c r="I138" s="23"/>
      <x:c r="J138" s="23"/>
      <x:c r="K138" s="20"/>
      <x:c r="L138" s="20"/>
      <x:c r="M138" s="20"/>
      <x:c r="N138" s="20"/>
      <x:c r="O138" s="23"/>
      <x:c r="P138" s="20"/>
      <x:c r="Q138" s="23"/>
      <x:c r="R138" s="20" t="str">
        <x:f>IF(A138="","",TODAY()-I138)</x:f>
      </x:c>
      <x:c r="S138" s="20" t="str">
        <x:f>IF(A138="","",IF(AND(K138&lt;&gt;"Closed",J138&lt;TODAY()),"YES","NO"))</x:f>
      </x:c>
    </x:row>
    <x:row r="139">
      <x:c r="A139" s="20"/>
      <x:c r="B139" s="20"/>
      <x:c r="C139" s="20"/>
      <x:c r="D139" s="20"/>
      <x:c r="E139" s="20"/>
      <x:c r="F139" s="20"/>
      <x:c r="G139" s="20"/>
      <x:c r="H139" s="20"/>
      <x:c r="I139" s="23"/>
      <x:c r="J139" s="23"/>
      <x:c r="K139" s="20"/>
      <x:c r="L139" s="20"/>
      <x:c r="M139" s="20"/>
      <x:c r="N139" s="20"/>
      <x:c r="O139" s="23"/>
      <x:c r="P139" s="20"/>
      <x:c r="Q139" s="23"/>
      <x:c r="R139" s="20" t="str">
        <x:f>IF(A139="","",TODAY()-I139)</x:f>
      </x:c>
      <x:c r="S139" s="20" t="str">
        <x:f>IF(A139="","",IF(AND(K139&lt;&gt;"Closed",J139&lt;TODAY()),"YES","NO"))</x:f>
      </x:c>
    </x:row>
    <x:row r="140">
      <x:c r="A140" s="20"/>
      <x:c r="B140" s="20"/>
      <x:c r="C140" s="20"/>
      <x:c r="D140" s="20"/>
      <x:c r="E140" s="20"/>
      <x:c r="F140" s="20"/>
      <x:c r="G140" s="20"/>
      <x:c r="H140" s="20"/>
      <x:c r="I140" s="23"/>
      <x:c r="J140" s="23"/>
      <x:c r="K140" s="20"/>
      <x:c r="L140" s="20"/>
      <x:c r="M140" s="20"/>
      <x:c r="N140" s="20"/>
      <x:c r="O140" s="23"/>
      <x:c r="P140" s="20"/>
      <x:c r="Q140" s="23"/>
      <x:c r="R140" s="20" t="str">
        <x:f>IF(A140="","",TODAY()-I140)</x:f>
      </x:c>
      <x:c r="S140" s="20" t="str">
        <x:f>IF(A140="","",IF(AND(K140&lt;&gt;"Closed",J140&lt;TODAY()),"YES","NO"))</x:f>
      </x:c>
    </x:row>
    <x:row r="141">
      <x:c r="A141" s="20"/>
      <x:c r="B141" s="20"/>
      <x:c r="C141" s="20"/>
      <x:c r="D141" s="20"/>
      <x:c r="E141" s="20"/>
      <x:c r="F141" s="20"/>
      <x:c r="G141" s="20"/>
      <x:c r="H141" s="20"/>
      <x:c r="I141" s="23"/>
      <x:c r="J141" s="23"/>
      <x:c r="K141" s="20"/>
      <x:c r="L141" s="20"/>
      <x:c r="M141" s="20"/>
      <x:c r="N141" s="20"/>
      <x:c r="O141" s="23"/>
      <x:c r="P141" s="20"/>
      <x:c r="Q141" s="23"/>
      <x:c r="R141" s="20" t="str">
        <x:f>IF(A141="","",TODAY()-I141)</x:f>
      </x:c>
      <x:c r="S141" s="20" t="str">
        <x:f>IF(A141="","",IF(AND(K141&lt;&gt;"Closed",J141&lt;TODAY()),"YES","NO"))</x:f>
      </x:c>
    </x:row>
    <x:row r="142">
      <x:c r="A142" s="20"/>
      <x:c r="B142" s="20"/>
      <x:c r="C142" s="20"/>
      <x:c r="D142" s="20"/>
      <x:c r="E142" s="20"/>
      <x:c r="F142" s="20"/>
      <x:c r="G142" s="20"/>
      <x:c r="H142" s="20"/>
      <x:c r="I142" s="23"/>
      <x:c r="J142" s="23"/>
      <x:c r="K142" s="20"/>
      <x:c r="L142" s="20"/>
      <x:c r="M142" s="20"/>
      <x:c r="N142" s="20"/>
      <x:c r="O142" s="23"/>
      <x:c r="P142" s="20"/>
      <x:c r="Q142" s="23"/>
      <x:c r="R142" s="20" t="str">
        <x:f>IF(A142="","",TODAY()-I142)</x:f>
      </x:c>
      <x:c r="S142" s="20" t="str">
        <x:f>IF(A142="","",IF(AND(K142&lt;&gt;"Closed",J142&lt;TODAY()),"YES","NO"))</x:f>
      </x:c>
    </x:row>
    <x:row r="143">
      <x:c r="A143" s="20"/>
      <x:c r="B143" s="20"/>
      <x:c r="C143" s="20"/>
      <x:c r="D143" s="20"/>
      <x:c r="E143" s="20"/>
      <x:c r="F143" s="20"/>
      <x:c r="G143" s="20"/>
      <x:c r="H143" s="20"/>
      <x:c r="I143" s="23"/>
      <x:c r="J143" s="23"/>
      <x:c r="K143" s="20"/>
      <x:c r="L143" s="20"/>
      <x:c r="M143" s="20"/>
      <x:c r="N143" s="20"/>
      <x:c r="O143" s="23"/>
      <x:c r="P143" s="20"/>
      <x:c r="Q143" s="23"/>
      <x:c r="R143" s="20" t="str">
        <x:f>IF(A143="","",TODAY()-I143)</x:f>
      </x:c>
      <x:c r="S143" s="20" t="str">
        <x:f>IF(A143="","",IF(AND(K143&lt;&gt;"Closed",J143&lt;TODAY()),"YES","NO"))</x:f>
      </x:c>
    </x:row>
    <x:row r="144">
      <x:c r="A144" s="20"/>
      <x:c r="B144" s="20"/>
      <x:c r="C144" s="20"/>
      <x:c r="D144" s="20"/>
      <x:c r="E144" s="20"/>
      <x:c r="F144" s="20"/>
      <x:c r="G144" s="20"/>
      <x:c r="H144" s="20"/>
      <x:c r="I144" s="23"/>
      <x:c r="J144" s="23"/>
      <x:c r="K144" s="20"/>
      <x:c r="L144" s="20"/>
      <x:c r="M144" s="20"/>
      <x:c r="N144" s="20"/>
      <x:c r="O144" s="23"/>
      <x:c r="P144" s="20"/>
      <x:c r="Q144" s="23"/>
      <x:c r="R144" s="20" t="str">
        <x:f>IF(A144="","",TODAY()-I144)</x:f>
      </x:c>
      <x:c r="S144" s="20" t="str">
        <x:f>IF(A144="","",IF(AND(K144&lt;&gt;"Closed",J144&lt;TODAY()),"YES","NO"))</x:f>
      </x:c>
    </x:row>
    <x:row r="145">
      <x:c r="A145" s="20"/>
      <x:c r="B145" s="20"/>
      <x:c r="C145" s="20"/>
      <x:c r="D145" s="20"/>
      <x:c r="E145" s="20"/>
      <x:c r="F145" s="20"/>
      <x:c r="G145" s="20"/>
      <x:c r="H145" s="20"/>
      <x:c r="I145" s="23"/>
      <x:c r="J145" s="23"/>
      <x:c r="K145" s="20"/>
      <x:c r="L145" s="20"/>
      <x:c r="M145" s="20"/>
      <x:c r="N145" s="20"/>
      <x:c r="O145" s="23"/>
      <x:c r="P145" s="20"/>
      <x:c r="Q145" s="23"/>
      <x:c r="R145" s="20" t="str">
        <x:f>IF(A145="","",TODAY()-I145)</x:f>
      </x:c>
      <x:c r="S145" s="20" t="str">
        <x:f>IF(A145="","",IF(AND(K145&lt;&gt;"Closed",J145&lt;TODAY()),"YES","NO"))</x:f>
      </x:c>
    </x:row>
    <x:row r="146">
      <x:c r="A146" s="20"/>
      <x:c r="B146" s="20"/>
      <x:c r="C146" s="20"/>
      <x:c r="D146" s="20"/>
      <x:c r="E146" s="20"/>
      <x:c r="F146" s="20"/>
      <x:c r="G146" s="20"/>
      <x:c r="H146" s="20"/>
      <x:c r="I146" s="23"/>
      <x:c r="J146" s="23"/>
      <x:c r="K146" s="20"/>
      <x:c r="L146" s="20"/>
      <x:c r="M146" s="20"/>
      <x:c r="N146" s="20"/>
      <x:c r="O146" s="23"/>
      <x:c r="P146" s="20"/>
      <x:c r="Q146" s="23"/>
      <x:c r="R146" s="20" t="str">
        <x:f>IF(A146="","",TODAY()-I146)</x:f>
      </x:c>
      <x:c r="S146" s="20" t="str">
        <x:f>IF(A146="","",IF(AND(K146&lt;&gt;"Closed",J146&lt;TODAY()),"YES","NO"))</x:f>
      </x:c>
    </x:row>
    <x:row r="147">
      <x:c r="A147" s="20"/>
      <x:c r="B147" s="20"/>
      <x:c r="C147" s="20"/>
      <x:c r="D147" s="20"/>
      <x:c r="E147" s="20"/>
      <x:c r="F147" s="20"/>
      <x:c r="G147" s="20"/>
      <x:c r="H147" s="20"/>
      <x:c r="I147" s="23"/>
      <x:c r="J147" s="23"/>
      <x:c r="K147" s="20"/>
      <x:c r="L147" s="20"/>
      <x:c r="M147" s="20"/>
      <x:c r="N147" s="20"/>
      <x:c r="O147" s="23"/>
      <x:c r="P147" s="20"/>
      <x:c r="Q147" s="23"/>
      <x:c r="R147" s="20" t="str">
        <x:f>IF(A147="","",TODAY()-I147)</x:f>
      </x:c>
      <x:c r="S147" s="20" t="str">
        <x:f>IF(A147="","",IF(AND(K147&lt;&gt;"Closed",J147&lt;TODAY()),"YES","NO"))</x:f>
      </x:c>
    </x:row>
    <x:row r="148">
      <x:c r="A148" s="20"/>
      <x:c r="B148" s="20"/>
      <x:c r="C148" s="20"/>
      <x:c r="D148" s="20"/>
      <x:c r="E148" s="20"/>
      <x:c r="F148" s="20"/>
      <x:c r="G148" s="20"/>
      <x:c r="H148" s="20"/>
      <x:c r="I148" s="23"/>
      <x:c r="J148" s="23"/>
      <x:c r="K148" s="20"/>
      <x:c r="L148" s="20"/>
      <x:c r="M148" s="20"/>
      <x:c r="N148" s="20"/>
      <x:c r="O148" s="23"/>
      <x:c r="P148" s="20"/>
      <x:c r="Q148" s="23"/>
      <x:c r="R148" s="20" t="str">
        <x:f>IF(A148="","",TODAY()-I148)</x:f>
      </x:c>
      <x:c r="S148" s="20" t="str">
        <x:f>IF(A148="","",IF(AND(K148&lt;&gt;"Closed",J148&lt;TODAY()),"YES","NO"))</x:f>
      </x:c>
    </x:row>
    <x:row r="149">
      <x:c r="A149" s="20"/>
      <x:c r="B149" s="20"/>
      <x:c r="C149" s="20"/>
      <x:c r="D149" s="20"/>
      <x:c r="E149" s="20"/>
      <x:c r="F149" s="20"/>
      <x:c r="G149" s="20"/>
      <x:c r="H149" s="20"/>
      <x:c r="I149" s="23"/>
      <x:c r="J149" s="23"/>
      <x:c r="K149" s="20"/>
      <x:c r="L149" s="20"/>
      <x:c r="M149" s="20"/>
      <x:c r="N149" s="20"/>
      <x:c r="O149" s="23"/>
      <x:c r="P149" s="20"/>
      <x:c r="Q149" s="23"/>
      <x:c r="R149" s="20" t="str">
        <x:f>IF(A149="","",TODAY()-I149)</x:f>
      </x:c>
      <x:c r="S149" s="20" t="str">
        <x:f>IF(A149="","",IF(AND(K149&lt;&gt;"Closed",J149&lt;TODAY()),"YES","NO"))</x:f>
      </x:c>
    </x:row>
    <x:row r="150">
      <x:c r="A150" s="20"/>
      <x:c r="B150" s="20"/>
      <x:c r="C150" s="20"/>
      <x:c r="D150" s="20"/>
      <x:c r="E150" s="20"/>
      <x:c r="F150" s="20"/>
      <x:c r="G150" s="20"/>
      <x:c r="H150" s="20"/>
      <x:c r="I150" s="23"/>
      <x:c r="J150" s="23"/>
      <x:c r="K150" s="20"/>
      <x:c r="L150" s="20"/>
      <x:c r="M150" s="20"/>
      <x:c r="N150" s="20"/>
      <x:c r="O150" s="23"/>
      <x:c r="P150" s="20"/>
      <x:c r="Q150" s="23"/>
      <x:c r="R150" s="20" t="str">
        <x:f>IF(A150="","",TODAY()-I150)</x:f>
      </x:c>
      <x:c r="S150" s="20" t="str">
        <x:f>IF(A150="","",IF(AND(K150&lt;&gt;"Closed",J150&lt;TODAY()),"YES","NO"))</x:f>
      </x:c>
    </x:row>
    <x:row r="151">
      <x:c r="A151" s="20"/>
      <x:c r="B151" s="20"/>
      <x:c r="C151" s="20"/>
      <x:c r="D151" s="20"/>
      <x:c r="E151" s="20"/>
      <x:c r="F151" s="20"/>
      <x:c r="G151" s="20"/>
      <x:c r="H151" s="20"/>
      <x:c r="I151" s="23"/>
      <x:c r="J151" s="23"/>
      <x:c r="K151" s="20"/>
      <x:c r="L151" s="20"/>
      <x:c r="M151" s="20"/>
      <x:c r="N151" s="20"/>
      <x:c r="O151" s="23"/>
      <x:c r="P151" s="20"/>
      <x:c r="Q151" s="23"/>
      <x:c r="R151" s="20" t="str">
        <x:f>IF(A151="","",TODAY()-I151)</x:f>
      </x:c>
      <x:c r="S151" s="20" t="str">
        <x:f>IF(A151="","",IF(AND(K151&lt;&gt;"Closed",J151&lt;TODAY()),"YES","NO"))</x:f>
      </x:c>
    </x:row>
    <x:row r="152">
      <x:c r="A152" s="20"/>
      <x:c r="B152" s="20"/>
      <x:c r="C152" s="20"/>
      <x:c r="D152" s="20"/>
      <x:c r="E152" s="20"/>
      <x:c r="F152" s="20"/>
      <x:c r="G152" s="20"/>
      <x:c r="H152" s="20"/>
      <x:c r="I152" s="23"/>
      <x:c r="J152" s="23"/>
      <x:c r="K152" s="20"/>
      <x:c r="L152" s="20"/>
      <x:c r="M152" s="20"/>
      <x:c r="N152" s="20"/>
      <x:c r="O152" s="23"/>
      <x:c r="P152" s="20"/>
      <x:c r="Q152" s="23"/>
      <x:c r="R152" s="20" t="str">
        <x:f>IF(A152="","",TODAY()-I152)</x:f>
      </x:c>
      <x:c r="S152" s="20" t="str">
        <x:f>IF(A152="","",IF(AND(K152&lt;&gt;"Closed",J152&lt;TODAY()),"YES","NO"))</x:f>
      </x:c>
    </x:row>
    <x:row r="153">
      <x:c r="A153" s="20"/>
      <x:c r="B153" s="20"/>
      <x:c r="C153" s="20"/>
      <x:c r="D153" s="20"/>
      <x:c r="E153" s="20"/>
      <x:c r="F153" s="20"/>
      <x:c r="G153" s="20"/>
      <x:c r="H153" s="20"/>
      <x:c r="I153" s="23"/>
      <x:c r="J153" s="23"/>
      <x:c r="K153" s="20"/>
      <x:c r="L153" s="20"/>
      <x:c r="M153" s="20"/>
      <x:c r="N153" s="20"/>
      <x:c r="O153" s="23"/>
      <x:c r="P153" s="20"/>
      <x:c r="Q153" s="23"/>
      <x:c r="R153" s="20" t="str">
        <x:f>IF(A153="","",TODAY()-I153)</x:f>
      </x:c>
      <x:c r="S153" s="20" t="str">
        <x:f>IF(A153="","",IF(AND(K153&lt;&gt;"Closed",J153&lt;TODAY()),"YES","NO"))</x:f>
      </x:c>
    </x:row>
    <x:row r="154">
      <x:c r="A154" s="20"/>
      <x:c r="B154" s="20"/>
      <x:c r="C154" s="20"/>
      <x:c r="D154" s="20"/>
      <x:c r="E154" s="20"/>
      <x:c r="F154" s="20"/>
      <x:c r="G154" s="20"/>
      <x:c r="H154" s="20"/>
      <x:c r="I154" s="23"/>
      <x:c r="J154" s="23"/>
      <x:c r="K154" s="20"/>
      <x:c r="L154" s="20"/>
      <x:c r="M154" s="20"/>
      <x:c r="N154" s="20"/>
      <x:c r="O154" s="23"/>
      <x:c r="P154" s="20"/>
      <x:c r="Q154" s="23"/>
      <x:c r="R154" s="20" t="str">
        <x:f>IF(A154="","",TODAY()-I154)</x:f>
      </x:c>
      <x:c r="S154" s="20" t="str">
        <x:f>IF(A154="","",IF(AND(K154&lt;&gt;"Closed",J154&lt;TODAY()),"YES","NO"))</x:f>
      </x:c>
    </x:row>
    <x:row r="155">
      <x:c r="A155" s="20"/>
      <x:c r="B155" s="20"/>
      <x:c r="C155" s="20"/>
      <x:c r="D155" s="20"/>
      <x:c r="E155" s="20"/>
      <x:c r="F155" s="20"/>
      <x:c r="G155" s="20"/>
      <x:c r="H155" s="20"/>
      <x:c r="I155" s="23"/>
      <x:c r="J155" s="23"/>
      <x:c r="K155" s="20"/>
      <x:c r="L155" s="20"/>
      <x:c r="M155" s="20"/>
      <x:c r="N155" s="20"/>
      <x:c r="O155" s="23"/>
      <x:c r="P155" s="20"/>
      <x:c r="Q155" s="23"/>
      <x:c r="R155" s="20" t="str">
        <x:f>IF(A155="","",TODAY()-I155)</x:f>
      </x:c>
      <x:c r="S155" s="20" t="str">
        <x:f>IF(A155="","",IF(AND(K155&lt;&gt;"Closed",J155&lt;TODAY()),"YES","NO"))</x:f>
      </x:c>
    </x:row>
    <x:row r="156">
      <x:c r="A156" s="20"/>
      <x:c r="B156" s="20"/>
      <x:c r="C156" s="20"/>
      <x:c r="D156" s="20"/>
      <x:c r="E156" s="20"/>
      <x:c r="F156" s="20"/>
      <x:c r="G156" s="20"/>
      <x:c r="H156" s="20"/>
      <x:c r="I156" s="23"/>
      <x:c r="J156" s="23"/>
      <x:c r="K156" s="20"/>
      <x:c r="L156" s="20"/>
      <x:c r="M156" s="20"/>
      <x:c r="N156" s="20"/>
      <x:c r="O156" s="23"/>
      <x:c r="P156" s="20"/>
      <x:c r="Q156" s="23"/>
      <x:c r="R156" s="20" t="str">
        <x:f>IF(A156="","",TODAY()-I156)</x:f>
      </x:c>
      <x:c r="S156" s="20" t="str">
        <x:f>IF(A156="","",IF(AND(K156&lt;&gt;"Closed",J156&lt;TODAY()),"YES","NO"))</x:f>
      </x:c>
    </x:row>
    <x:row r="157">
      <x:c r="A157" s="20"/>
      <x:c r="B157" s="20"/>
      <x:c r="C157" s="20"/>
      <x:c r="D157" s="20"/>
      <x:c r="E157" s="20"/>
      <x:c r="F157" s="20"/>
      <x:c r="G157" s="20"/>
      <x:c r="H157" s="20"/>
      <x:c r="I157" s="23"/>
      <x:c r="J157" s="23"/>
      <x:c r="K157" s="20"/>
      <x:c r="L157" s="20"/>
      <x:c r="M157" s="20"/>
      <x:c r="N157" s="20"/>
      <x:c r="O157" s="23"/>
      <x:c r="P157" s="20"/>
      <x:c r="Q157" s="23"/>
      <x:c r="R157" s="20" t="str">
        <x:f>IF(A157="","",TODAY()-I157)</x:f>
      </x:c>
      <x:c r="S157" s="20" t="str">
        <x:f>IF(A157="","",IF(AND(K157&lt;&gt;"Closed",J157&lt;TODAY()),"YES","NO"))</x:f>
      </x:c>
    </x:row>
    <x:row r="158">
      <x:c r="A158" s="20"/>
      <x:c r="B158" s="20"/>
      <x:c r="C158" s="20"/>
      <x:c r="D158" s="20"/>
      <x:c r="E158" s="20"/>
      <x:c r="F158" s="20"/>
      <x:c r="G158" s="20"/>
      <x:c r="H158" s="20"/>
      <x:c r="I158" s="23"/>
      <x:c r="J158" s="23"/>
      <x:c r="K158" s="20"/>
      <x:c r="L158" s="20"/>
      <x:c r="M158" s="20"/>
      <x:c r="N158" s="20"/>
      <x:c r="O158" s="23"/>
      <x:c r="P158" s="20"/>
      <x:c r="Q158" s="23"/>
      <x:c r="R158" s="20" t="str">
        <x:f>IF(A158="","",TODAY()-I158)</x:f>
      </x:c>
      <x:c r="S158" s="20" t="str">
        <x:f>IF(A158="","",IF(AND(K158&lt;&gt;"Closed",J158&lt;TODAY()),"YES","NO"))</x:f>
      </x:c>
    </x:row>
    <x:row r="159">
      <x:c r="A159" s="20"/>
      <x:c r="B159" s="20"/>
      <x:c r="C159" s="20"/>
      <x:c r="D159" s="20"/>
      <x:c r="E159" s="20"/>
      <x:c r="F159" s="20"/>
      <x:c r="G159" s="20"/>
      <x:c r="H159" s="20"/>
      <x:c r="I159" s="23"/>
      <x:c r="J159" s="23"/>
      <x:c r="K159" s="20"/>
      <x:c r="L159" s="20"/>
      <x:c r="M159" s="20"/>
      <x:c r="N159" s="20"/>
      <x:c r="O159" s="23"/>
      <x:c r="P159" s="20"/>
      <x:c r="Q159" s="23"/>
      <x:c r="R159" s="20" t="str">
        <x:f>IF(A159="","",TODAY()-I159)</x:f>
      </x:c>
      <x:c r="S159" s="20" t="str">
        <x:f>IF(A159="","",IF(AND(K159&lt;&gt;"Closed",J159&lt;TODAY()),"YES","NO"))</x:f>
      </x:c>
    </x:row>
    <x:row r="160">
      <x:c r="A160" s="20"/>
      <x:c r="B160" s="20"/>
      <x:c r="C160" s="20"/>
      <x:c r="D160" s="20"/>
      <x:c r="E160" s="20"/>
      <x:c r="F160" s="20"/>
      <x:c r="G160" s="20"/>
      <x:c r="H160" s="20"/>
      <x:c r="I160" s="23"/>
      <x:c r="J160" s="23"/>
      <x:c r="K160" s="20"/>
      <x:c r="L160" s="20"/>
      <x:c r="M160" s="20"/>
      <x:c r="N160" s="20"/>
      <x:c r="O160" s="23"/>
      <x:c r="P160" s="20"/>
      <x:c r="Q160" s="23"/>
      <x:c r="R160" s="20" t="str">
        <x:f>IF(A160="","",TODAY()-I160)</x:f>
      </x:c>
      <x:c r="S160" s="20" t="str">
        <x:f>IF(A160="","",IF(AND(K160&lt;&gt;"Closed",J160&lt;TODAY()),"YES","NO"))</x:f>
      </x:c>
    </x:row>
    <x:row r="161">
      <x:c r="A161" s="20"/>
      <x:c r="B161" s="20"/>
      <x:c r="C161" s="20"/>
      <x:c r="D161" s="20"/>
      <x:c r="E161" s="20"/>
      <x:c r="F161" s="20"/>
      <x:c r="G161" s="20"/>
      <x:c r="H161" s="20"/>
      <x:c r="I161" s="23"/>
      <x:c r="J161" s="23"/>
      <x:c r="K161" s="20"/>
      <x:c r="L161" s="20"/>
      <x:c r="M161" s="20"/>
      <x:c r="N161" s="20"/>
      <x:c r="O161" s="23"/>
      <x:c r="P161" s="20"/>
      <x:c r="Q161" s="23"/>
      <x:c r="R161" s="20" t="str">
        <x:f>IF(A161="","",TODAY()-I161)</x:f>
      </x:c>
      <x:c r="S161" s="20" t="str">
        <x:f>IF(A161="","",IF(AND(K161&lt;&gt;"Closed",J161&lt;TODAY()),"YES","NO"))</x:f>
      </x:c>
    </x:row>
    <x:row r="162">
      <x:c r="A162" s="20"/>
      <x:c r="B162" s="20"/>
      <x:c r="C162" s="20"/>
      <x:c r="D162" s="20"/>
      <x:c r="E162" s="20"/>
      <x:c r="F162" s="20"/>
      <x:c r="G162" s="20"/>
      <x:c r="H162" s="20"/>
      <x:c r="I162" s="23"/>
      <x:c r="J162" s="23"/>
      <x:c r="K162" s="20"/>
      <x:c r="L162" s="20"/>
      <x:c r="M162" s="20"/>
      <x:c r="N162" s="20"/>
      <x:c r="O162" s="23"/>
      <x:c r="P162" s="20"/>
      <x:c r="Q162" s="23"/>
      <x:c r="R162" s="20" t="str">
        <x:f>IF(A162="","",TODAY()-I162)</x:f>
      </x:c>
      <x:c r="S162" s="20" t="str">
        <x:f>IF(A162="","",IF(AND(K162&lt;&gt;"Closed",J162&lt;TODAY()),"YES","NO"))</x:f>
      </x:c>
    </x:row>
    <x:row r="163">
      <x:c r="A163" s="20"/>
      <x:c r="B163" s="20"/>
      <x:c r="C163" s="20"/>
      <x:c r="D163" s="20"/>
      <x:c r="E163" s="20"/>
      <x:c r="F163" s="20"/>
      <x:c r="G163" s="20"/>
      <x:c r="H163" s="20"/>
      <x:c r="I163" s="23"/>
      <x:c r="J163" s="23"/>
      <x:c r="K163" s="20"/>
      <x:c r="L163" s="20"/>
      <x:c r="M163" s="20"/>
      <x:c r="N163" s="20"/>
      <x:c r="O163" s="23"/>
      <x:c r="P163" s="20"/>
      <x:c r="Q163" s="23"/>
      <x:c r="R163" s="20" t="str">
        <x:f>IF(A163="","",TODAY()-I163)</x:f>
      </x:c>
      <x:c r="S163" s="20" t="str">
        <x:f>IF(A163="","",IF(AND(K163&lt;&gt;"Closed",J163&lt;TODAY()),"YES","NO"))</x:f>
      </x:c>
    </x:row>
    <x:row r="164">
      <x:c r="A164" s="20"/>
      <x:c r="B164" s="20"/>
      <x:c r="C164" s="20"/>
      <x:c r="D164" s="20"/>
      <x:c r="E164" s="20"/>
      <x:c r="F164" s="20"/>
      <x:c r="G164" s="20"/>
      <x:c r="H164" s="20"/>
      <x:c r="I164" s="23"/>
      <x:c r="J164" s="23"/>
      <x:c r="K164" s="20"/>
      <x:c r="L164" s="20"/>
      <x:c r="M164" s="20"/>
      <x:c r="N164" s="20"/>
      <x:c r="O164" s="23"/>
      <x:c r="P164" s="20"/>
      <x:c r="Q164" s="23"/>
      <x:c r="R164" s="20" t="str">
        <x:f>IF(A164="","",TODAY()-I164)</x:f>
      </x:c>
      <x:c r="S164" s="20" t="str">
        <x:f>IF(A164="","",IF(AND(K164&lt;&gt;"Closed",J164&lt;TODAY()),"YES","NO"))</x:f>
      </x:c>
    </x:row>
    <x:row r="165">
      <x:c r="A165" s="20"/>
      <x:c r="B165" s="20"/>
      <x:c r="C165" s="20"/>
      <x:c r="D165" s="20"/>
      <x:c r="E165" s="20"/>
      <x:c r="F165" s="20"/>
      <x:c r="G165" s="20"/>
      <x:c r="H165" s="20"/>
      <x:c r="I165" s="23"/>
      <x:c r="J165" s="23"/>
      <x:c r="K165" s="20"/>
      <x:c r="L165" s="20"/>
      <x:c r="M165" s="20"/>
      <x:c r="N165" s="20"/>
      <x:c r="O165" s="23"/>
      <x:c r="P165" s="20"/>
      <x:c r="Q165" s="23"/>
      <x:c r="R165" s="20" t="str">
        <x:f>IF(A165="","",TODAY()-I165)</x:f>
      </x:c>
      <x:c r="S165" s="20" t="str">
        <x:f>IF(A165="","",IF(AND(K165&lt;&gt;"Closed",J165&lt;TODAY()),"YES","NO"))</x:f>
      </x:c>
    </x:row>
    <x:row r="166">
      <x:c r="A166" s="20"/>
      <x:c r="B166" s="20"/>
      <x:c r="C166" s="20"/>
      <x:c r="D166" s="20"/>
      <x:c r="E166" s="20"/>
      <x:c r="F166" s="20"/>
      <x:c r="G166" s="20"/>
      <x:c r="H166" s="20"/>
      <x:c r="I166" s="23"/>
      <x:c r="J166" s="23"/>
      <x:c r="K166" s="20"/>
      <x:c r="L166" s="20"/>
      <x:c r="M166" s="20"/>
      <x:c r="N166" s="20"/>
      <x:c r="O166" s="23"/>
      <x:c r="P166" s="20"/>
      <x:c r="Q166" s="23"/>
      <x:c r="R166" s="20" t="str">
        <x:f>IF(A166="","",TODAY()-I166)</x:f>
      </x:c>
      <x:c r="S166" s="20" t="str">
        <x:f>IF(A166="","",IF(AND(K166&lt;&gt;"Closed",J166&lt;TODAY()),"YES","NO"))</x:f>
      </x:c>
    </x:row>
    <x:row r="167">
      <x:c r="A167" s="20"/>
      <x:c r="B167" s="20"/>
      <x:c r="C167" s="20"/>
      <x:c r="D167" s="20"/>
      <x:c r="E167" s="20"/>
      <x:c r="F167" s="20"/>
      <x:c r="G167" s="20"/>
      <x:c r="H167" s="20"/>
      <x:c r="I167" s="23"/>
      <x:c r="J167" s="23"/>
      <x:c r="K167" s="20"/>
      <x:c r="L167" s="20"/>
      <x:c r="M167" s="20"/>
      <x:c r="N167" s="20"/>
      <x:c r="O167" s="23"/>
      <x:c r="P167" s="20"/>
      <x:c r="Q167" s="23"/>
      <x:c r="R167" s="20" t="str">
        <x:f>IF(A167="","",TODAY()-I167)</x:f>
      </x:c>
      <x:c r="S167" s="20" t="str">
        <x:f>IF(A167="","",IF(AND(K167&lt;&gt;"Closed",J167&lt;TODAY()),"YES","NO"))</x:f>
      </x:c>
    </x:row>
    <x:row r="168">
      <x:c r="A168" s="20"/>
      <x:c r="B168" s="20"/>
      <x:c r="C168" s="20"/>
      <x:c r="D168" s="20"/>
      <x:c r="E168" s="20"/>
      <x:c r="F168" s="20"/>
      <x:c r="G168" s="20"/>
      <x:c r="H168" s="20"/>
      <x:c r="I168" s="23"/>
      <x:c r="J168" s="23"/>
      <x:c r="K168" s="20"/>
      <x:c r="L168" s="20"/>
      <x:c r="M168" s="20"/>
      <x:c r="N168" s="20"/>
      <x:c r="O168" s="23"/>
      <x:c r="P168" s="20"/>
      <x:c r="Q168" s="23"/>
      <x:c r="R168" s="20" t="str">
        <x:f>IF(A168="","",TODAY()-I168)</x:f>
      </x:c>
      <x:c r="S168" s="20" t="str">
        <x:f>IF(A168="","",IF(AND(K168&lt;&gt;"Closed",J168&lt;TODAY()),"YES","NO"))</x:f>
      </x:c>
    </x:row>
    <x:row r="169">
      <x:c r="A169" s="20"/>
      <x:c r="B169" s="20"/>
      <x:c r="C169" s="20"/>
      <x:c r="D169" s="20"/>
      <x:c r="E169" s="20"/>
      <x:c r="F169" s="20"/>
      <x:c r="G169" s="20"/>
      <x:c r="H169" s="20"/>
      <x:c r="I169" s="23"/>
      <x:c r="J169" s="23"/>
      <x:c r="K169" s="20"/>
      <x:c r="L169" s="20"/>
      <x:c r="M169" s="20"/>
      <x:c r="N169" s="20"/>
      <x:c r="O169" s="23"/>
      <x:c r="P169" s="20"/>
      <x:c r="Q169" s="23"/>
      <x:c r="R169" s="20" t="str">
        <x:f>IF(A169="","",TODAY()-I169)</x:f>
      </x:c>
      <x:c r="S169" s="20" t="str">
        <x:f>IF(A169="","",IF(AND(K169&lt;&gt;"Closed",J169&lt;TODAY()),"YES","NO"))</x:f>
      </x:c>
    </x:row>
    <x:row r="170">
      <x:c r="A170" s="20"/>
      <x:c r="B170" s="20"/>
      <x:c r="C170" s="20"/>
      <x:c r="D170" s="20"/>
      <x:c r="E170" s="20"/>
      <x:c r="F170" s="20"/>
      <x:c r="G170" s="20"/>
      <x:c r="H170" s="20"/>
      <x:c r="I170" s="23"/>
      <x:c r="J170" s="23"/>
      <x:c r="K170" s="20"/>
      <x:c r="L170" s="20"/>
      <x:c r="M170" s="20"/>
      <x:c r="N170" s="20"/>
      <x:c r="O170" s="23"/>
      <x:c r="P170" s="20"/>
      <x:c r="Q170" s="23"/>
      <x:c r="R170" s="20" t="str">
        <x:f>IF(A170="","",TODAY()-I170)</x:f>
      </x:c>
      <x:c r="S170" s="20" t="str">
        <x:f>IF(A170="","",IF(AND(K170&lt;&gt;"Closed",J170&lt;TODAY()),"YES","NO"))</x:f>
      </x:c>
    </x:row>
    <x:row r="171">
      <x:c r="A171" s="20"/>
      <x:c r="B171" s="20"/>
      <x:c r="C171" s="20"/>
      <x:c r="D171" s="20"/>
      <x:c r="E171" s="20"/>
      <x:c r="F171" s="20"/>
      <x:c r="G171" s="20"/>
      <x:c r="H171" s="20"/>
      <x:c r="I171" s="23"/>
      <x:c r="J171" s="23"/>
      <x:c r="K171" s="20"/>
      <x:c r="L171" s="20"/>
      <x:c r="M171" s="20"/>
      <x:c r="N171" s="20"/>
      <x:c r="O171" s="23"/>
      <x:c r="P171" s="20"/>
      <x:c r="Q171" s="23"/>
      <x:c r="R171" s="20" t="str">
        <x:f>IF(A171="","",TODAY()-I171)</x:f>
      </x:c>
      <x:c r="S171" s="20" t="str">
        <x:f>IF(A171="","",IF(AND(K171&lt;&gt;"Closed",J171&lt;TODAY()),"YES","NO"))</x:f>
      </x:c>
    </x:row>
    <x:row r="172">
      <x:c r="A172" s="20"/>
      <x:c r="B172" s="20"/>
      <x:c r="C172" s="20"/>
      <x:c r="D172" s="20"/>
      <x:c r="E172" s="20"/>
      <x:c r="F172" s="20"/>
      <x:c r="G172" s="20"/>
      <x:c r="H172" s="20"/>
      <x:c r="I172" s="23"/>
      <x:c r="J172" s="23"/>
      <x:c r="K172" s="20"/>
      <x:c r="L172" s="20"/>
      <x:c r="M172" s="20"/>
      <x:c r="N172" s="20"/>
      <x:c r="O172" s="23"/>
      <x:c r="P172" s="20"/>
      <x:c r="Q172" s="23"/>
      <x:c r="R172" s="20" t="str">
        <x:f>IF(A172="","",TODAY()-I172)</x:f>
      </x:c>
      <x:c r="S172" s="20" t="str">
        <x:f>IF(A172="","",IF(AND(K172&lt;&gt;"Closed",J172&lt;TODAY()),"YES","NO"))</x:f>
      </x:c>
    </x:row>
    <x:row r="173">
      <x:c r="A173" s="20"/>
      <x:c r="B173" s="20"/>
      <x:c r="C173" s="20"/>
      <x:c r="D173" s="20"/>
      <x:c r="E173" s="20"/>
      <x:c r="F173" s="20"/>
      <x:c r="G173" s="20"/>
      <x:c r="H173" s="20"/>
      <x:c r="I173" s="23"/>
      <x:c r="J173" s="23"/>
      <x:c r="K173" s="20"/>
      <x:c r="L173" s="20"/>
      <x:c r="M173" s="20"/>
      <x:c r="N173" s="20"/>
      <x:c r="O173" s="23"/>
      <x:c r="P173" s="20"/>
      <x:c r="Q173" s="23"/>
      <x:c r="R173" s="20" t="str">
        <x:f>IF(A173="","",TODAY()-I173)</x:f>
      </x:c>
      <x:c r="S173" s="20" t="str">
        <x:f>IF(A173="","",IF(AND(K173&lt;&gt;"Closed",J173&lt;TODAY()),"YES","NO"))</x:f>
      </x:c>
    </x:row>
    <x:row r="174">
      <x:c r="A174" s="20"/>
      <x:c r="B174" s="20"/>
      <x:c r="C174" s="20"/>
      <x:c r="D174" s="20"/>
      <x:c r="E174" s="20"/>
      <x:c r="F174" s="20"/>
      <x:c r="G174" s="20"/>
      <x:c r="H174" s="20"/>
      <x:c r="I174" s="23"/>
      <x:c r="J174" s="23"/>
      <x:c r="K174" s="20"/>
      <x:c r="L174" s="20"/>
      <x:c r="M174" s="20"/>
      <x:c r="N174" s="20"/>
      <x:c r="O174" s="23"/>
      <x:c r="P174" s="20"/>
      <x:c r="Q174" s="23"/>
      <x:c r="R174" s="20" t="str">
        <x:f>IF(A174="","",TODAY()-I174)</x:f>
      </x:c>
      <x:c r="S174" s="20" t="str">
        <x:f>IF(A174="","",IF(AND(K174&lt;&gt;"Closed",J174&lt;TODAY()),"YES","NO"))</x:f>
      </x:c>
    </x:row>
    <x:row r="175">
      <x:c r="A175" s="20"/>
      <x:c r="B175" s="20"/>
      <x:c r="C175" s="20"/>
      <x:c r="D175" s="20"/>
      <x:c r="E175" s="20"/>
      <x:c r="F175" s="20"/>
      <x:c r="G175" s="20"/>
      <x:c r="H175" s="20"/>
      <x:c r="I175" s="23"/>
      <x:c r="J175" s="23"/>
      <x:c r="K175" s="20"/>
      <x:c r="L175" s="20"/>
      <x:c r="M175" s="20"/>
      <x:c r="N175" s="20"/>
      <x:c r="O175" s="23"/>
      <x:c r="P175" s="20"/>
      <x:c r="Q175" s="23"/>
      <x:c r="R175" s="20" t="str">
        <x:f>IF(A175="","",TODAY()-I175)</x:f>
      </x:c>
      <x:c r="S175" s="20" t="str">
        <x:f>IF(A175="","",IF(AND(K175&lt;&gt;"Closed",J175&lt;TODAY()),"YES","NO"))</x:f>
      </x:c>
    </x:row>
    <x:row r="176">
      <x:c r="A176" s="20"/>
      <x:c r="B176" s="20"/>
      <x:c r="C176" s="20"/>
      <x:c r="D176" s="20"/>
      <x:c r="E176" s="20"/>
      <x:c r="F176" s="20"/>
      <x:c r="G176" s="20"/>
      <x:c r="H176" s="20"/>
      <x:c r="I176" s="23"/>
      <x:c r="J176" s="23"/>
      <x:c r="K176" s="20"/>
      <x:c r="L176" s="20"/>
      <x:c r="M176" s="20"/>
      <x:c r="N176" s="20"/>
      <x:c r="O176" s="23"/>
      <x:c r="P176" s="20"/>
      <x:c r="Q176" s="23"/>
      <x:c r="R176" s="20" t="str">
        <x:f>IF(A176="","",TODAY()-I176)</x:f>
      </x:c>
      <x:c r="S176" s="20" t="str">
        <x:f>IF(A176="","",IF(AND(K176&lt;&gt;"Closed",J176&lt;TODAY()),"YES","NO"))</x:f>
      </x:c>
    </x:row>
    <x:row r="177">
      <x:c r="A177" s="20"/>
      <x:c r="B177" s="20"/>
      <x:c r="C177" s="20"/>
      <x:c r="D177" s="20"/>
      <x:c r="E177" s="20"/>
      <x:c r="F177" s="20"/>
      <x:c r="G177" s="20"/>
      <x:c r="H177" s="20"/>
      <x:c r="I177" s="23"/>
      <x:c r="J177" s="23"/>
      <x:c r="K177" s="20"/>
      <x:c r="L177" s="20"/>
      <x:c r="M177" s="20"/>
      <x:c r="N177" s="20"/>
      <x:c r="O177" s="23"/>
      <x:c r="P177" s="20"/>
      <x:c r="Q177" s="23"/>
      <x:c r="R177" s="20" t="str">
        <x:f>IF(A177="","",TODAY()-I177)</x:f>
      </x:c>
      <x:c r="S177" s="20" t="str">
        <x:f>IF(A177="","",IF(AND(K177&lt;&gt;"Closed",J177&lt;TODAY()),"YES","NO"))</x:f>
      </x:c>
    </x:row>
    <x:row r="178">
      <x:c r="A178" s="20"/>
      <x:c r="B178" s="20"/>
      <x:c r="C178" s="20"/>
      <x:c r="D178" s="20"/>
      <x:c r="E178" s="20"/>
      <x:c r="F178" s="20"/>
      <x:c r="G178" s="20"/>
      <x:c r="H178" s="20"/>
      <x:c r="I178" s="23"/>
      <x:c r="J178" s="23"/>
      <x:c r="K178" s="20"/>
      <x:c r="L178" s="20"/>
      <x:c r="M178" s="20"/>
      <x:c r="N178" s="20"/>
      <x:c r="O178" s="23"/>
      <x:c r="P178" s="20"/>
      <x:c r="Q178" s="23"/>
      <x:c r="R178" s="20" t="str">
        <x:f>IF(A178="","",TODAY()-I178)</x:f>
      </x:c>
      <x:c r="S178" s="20" t="str">
        <x:f>IF(A178="","",IF(AND(K178&lt;&gt;"Closed",J178&lt;TODAY()),"YES","NO"))</x:f>
      </x:c>
    </x:row>
    <x:row r="179">
      <x:c r="A179" s="20"/>
      <x:c r="B179" s="20"/>
      <x:c r="C179" s="20"/>
      <x:c r="D179" s="20"/>
      <x:c r="E179" s="20"/>
      <x:c r="F179" s="20"/>
      <x:c r="G179" s="20"/>
      <x:c r="H179" s="20"/>
      <x:c r="I179" s="23"/>
      <x:c r="J179" s="23"/>
      <x:c r="K179" s="20"/>
      <x:c r="L179" s="20"/>
      <x:c r="M179" s="20"/>
      <x:c r="N179" s="20"/>
      <x:c r="O179" s="23"/>
      <x:c r="P179" s="20"/>
      <x:c r="Q179" s="23"/>
      <x:c r="R179" s="20" t="str">
        <x:f>IF(A179="","",TODAY()-I179)</x:f>
      </x:c>
      <x:c r="S179" s="20" t="str">
        <x:f>IF(A179="","",IF(AND(K179&lt;&gt;"Closed",J179&lt;TODAY()),"YES","NO"))</x:f>
      </x:c>
    </x:row>
    <x:row r="180">
      <x:c r="A180" s="20"/>
      <x:c r="B180" s="20"/>
      <x:c r="C180" s="20"/>
      <x:c r="D180" s="20"/>
      <x:c r="E180" s="20"/>
      <x:c r="F180" s="20"/>
      <x:c r="G180" s="20"/>
      <x:c r="H180" s="20"/>
      <x:c r="I180" s="23"/>
      <x:c r="J180" s="23"/>
      <x:c r="K180" s="20"/>
      <x:c r="L180" s="20"/>
      <x:c r="M180" s="20"/>
      <x:c r="N180" s="20"/>
      <x:c r="O180" s="23"/>
      <x:c r="P180" s="20"/>
      <x:c r="Q180" s="23"/>
      <x:c r="R180" s="20" t="str">
        <x:f>IF(A180="","",TODAY()-I180)</x:f>
      </x:c>
      <x:c r="S180" s="20" t="str">
        <x:f>IF(A180="","",IF(AND(K180&lt;&gt;"Closed",J180&lt;TODAY()),"YES","NO"))</x:f>
      </x:c>
    </x:row>
    <x:row r="181">
      <x:c r="A181" s="20"/>
      <x:c r="B181" s="20"/>
      <x:c r="C181" s="20"/>
      <x:c r="D181" s="20"/>
      <x:c r="E181" s="20"/>
      <x:c r="F181" s="20"/>
      <x:c r="G181" s="20"/>
      <x:c r="H181" s="20"/>
      <x:c r="I181" s="23"/>
      <x:c r="J181" s="23"/>
      <x:c r="K181" s="20"/>
      <x:c r="L181" s="20"/>
      <x:c r="M181" s="20"/>
      <x:c r="N181" s="20"/>
      <x:c r="O181" s="23"/>
      <x:c r="P181" s="20"/>
      <x:c r="Q181" s="23"/>
      <x:c r="R181" s="20" t="str">
        <x:f>IF(A181="","",TODAY()-I181)</x:f>
      </x:c>
      <x:c r="S181" s="20" t="str">
        <x:f>IF(A181="","",IF(AND(K181&lt;&gt;"Closed",J181&lt;TODAY()),"YES","NO"))</x:f>
      </x:c>
    </x:row>
    <x:row r="182">
      <x:c r="A182" s="20"/>
      <x:c r="B182" s="20"/>
      <x:c r="C182" s="20"/>
      <x:c r="D182" s="20"/>
      <x:c r="E182" s="20"/>
      <x:c r="F182" s="20"/>
      <x:c r="G182" s="20"/>
      <x:c r="H182" s="20"/>
      <x:c r="I182" s="23"/>
      <x:c r="J182" s="23"/>
      <x:c r="K182" s="20"/>
      <x:c r="L182" s="20"/>
      <x:c r="M182" s="20"/>
      <x:c r="N182" s="20"/>
      <x:c r="O182" s="23"/>
      <x:c r="P182" s="20"/>
      <x:c r="Q182" s="23"/>
      <x:c r="R182" s="20" t="str">
        <x:f>IF(A182="","",TODAY()-I182)</x:f>
      </x:c>
      <x:c r="S182" s="20" t="str">
        <x:f>IF(A182="","",IF(AND(K182&lt;&gt;"Closed",J182&lt;TODAY()),"YES","NO"))</x:f>
      </x:c>
    </x:row>
    <x:row r="183">
      <x:c r="A183" s="20"/>
      <x:c r="B183" s="20"/>
      <x:c r="C183" s="20"/>
      <x:c r="D183" s="20"/>
      <x:c r="E183" s="20"/>
      <x:c r="F183" s="20"/>
      <x:c r="G183" s="20"/>
      <x:c r="H183" s="20"/>
      <x:c r="I183" s="23"/>
      <x:c r="J183" s="23"/>
      <x:c r="K183" s="20"/>
      <x:c r="L183" s="20"/>
      <x:c r="M183" s="20"/>
      <x:c r="N183" s="20"/>
      <x:c r="O183" s="23"/>
      <x:c r="P183" s="20"/>
      <x:c r="Q183" s="23"/>
      <x:c r="R183" s="20" t="str">
        <x:f>IF(A183="","",TODAY()-I183)</x:f>
      </x:c>
      <x:c r="S183" s="20" t="str">
        <x:f>IF(A183="","",IF(AND(K183&lt;&gt;"Closed",J183&lt;TODAY()),"YES","NO"))</x:f>
      </x:c>
    </x:row>
    <x:row r="184">
      <x:c r="A184" s="20"/>
      <x:c r="B184" s="20"/>
      <x:c r="C184" s="20"/>
      <x:c r="D184" s="20"/>
      <x:c r="E184" s="20"/>
      <x:c r="F184" s="20"/>
      <x:c r="G184" s="20"/>
      <x:c r="H184" s="20"/>
      <x:c r="I184" s="23"/>
      <x:c r="J184" s="23"/>
      <x:c r="K184" s="20"/>
      <x:c r="L184" s="20"/>
      <x:c r="M184" s="20"/>
      <x:c r="N184" s="20"/>
      <x:c r="O184" s="23"/>
      <x:c r="P184" s="20"/>
      <x:c r="Q184" s="23"/>
      <x:c r="R184" s="20" t="str">
        <x:f>IF(A184="","",TODAY()-I184)</x:f>
      </x:c>
      <x:c r="S184" s="20" t="str">
        <x:f>IF(A184="","",IF(AND(K184&lt;&gt;"Closed",J184&lt;TODAY()),"YES","NO"))</x:f>
      </x:c>
    </x:row>
    <x:row r="185">
      <x:c r="A185" s="20"/>
      <x:c r="B185" s="20"/>
      <x:c r="C185" s="20"/>
      <x:c r="D185" s="20"/>
      <x:c r="E185" s="20"/>
      <x:c r="F185" s="20"/>
      <x:c r="G185" s="20"/>
      <x:c r="H185" s="20"/>
      <x:c r="I185" s="23"/>
      <x:c r="J185" s="23"/>
      <x:c r="K185" s="20"/>
      <x:c r="L185" s="20"/>
      <x:c r="M185" s="20"/>
      <x:c r="N185" s="20"/>
      <x:c r="O185" s="23"/>
      <x:c r="P185" s="20"/>
      <x:c r="Q185" s="23"/>
      <x:c r="R185" s="20" t="str">
        <x:f>IF(A185="","",TODAY()-I185)</x:f>
      </x:c>
      <x:c r="S185" s="20" t="str">
        <x:f>IF(A185="","",IF(AND(K185&lt;&gt;"Closed",J185&lt;TODAY()),"YES","NO"))</x:f>
      </x:c>
    </x:row>
    <x:row r="186">
      <x:c r="A186" s="20"/>
      <x:c r="B186" s="20"/>
      <x:c r="C186" s="20"/>
      <x:c r="D186" s="20"/>
      <x:c r="E186" s="20"/>
      <x:c r="F186" s="20"/>
      <x:c r="G186" s="20"/>
      <x:c r="H186" s="20"/>
      <x:c r="I186" s="23"/>
      <x:c r="J186" s="23"/>
      <x:c r="K186" s="20"/>
      <x:c r="L186" s="20"/>
      <x:c r="M186" s="20"/>
      <x:c r="N186" s="20"/>
      <x:c r="O186" s="23"/>
      <x:c r="P186" s="20"/>
      <x:c r="Q186" s="23"/>
      <x:c r="R186" s="20" t="str">
        <x:f>IF(A186="","",TODAY()-I186)</x:f>
      </x:c>
      <x:c r="S186" s="20" t="str">
        <x:f>IF(A186="","",IF(AND(K186&lt;&gt;"Closed",J186&lt;TODAY()),"YES","NO"))</x:f>
      </x:c>
    </x:row>
    <x:row r="187">
      <x:c r="A187" s="20"/>
      <x:c r="B187" s="20"/>
      <x:c r="C187" s="20"/>
      <x:c r="D187" s="20"/>
      <x:c r="E187" s="20"/>
      <x:c r="F187" s="20"/>
      <x:c r="G187" s="20"/>
      <x:c r="H187" s="20"/>
      <x:c r="I187" s="23"/>
      <x:c r="J187" s="23"/>
      <x:c r="K187" s="20"/>
      <x:c r="L187" s="20"/>
      <x:c r="M187" s="20"/>
      <x:c r="N187" s="20"/>
      <x:c r="O187" s="23"/>
      <x:c r="P187" s="20"/>
      <x:c r="Q187" s="23"/>
      <x:c r="R187" s="20" t="str">
        <x:f>IF(A187="","",TODAY()-I187)</x:f>
      </x:c>
      <x:c r="S187" s="20" t="str">
        <x:f>IF(A187="","",IF(AND(K187&lt;&gt;"Closed",J187&lt;TODAY()),"YES","NO"))</x:f>
      </x:c>
    </x:row>
    <x:row r="188">
      <x:c r="A188" s="20"/>
      <x:c r="B188" s="20"/>
      <x:c r="C188" s="20"/>
      <x:c r="D188" s="20"/>
      <x:c r="E188" s="20"/>
      <x:c r="F188" s="20"/>
      <x:c r="G188" s="20"/>
      <x:c r="H188" s="20"/>
      <x:c r="I188" s="23"/>
      <x:c r="J188" s="23"/>
      <x:c r="K188" s="20"/>
      <x:c r="L188" s="20"/>
      <x:c r="M188" s="20"/>
      <x:c r="N188" s="20"/>
      <x:c r="O188" s="23"/>
      <x:c r="P188" s="20"/>
      <x:c r="Q188" s="23"/>
      <x:c r="R188" s="20" t="str">
        <x:f>IF(A188="","",TODAY()-I188)</x:f>
      </x:c>
      <x:c r="S188" s="20" t="str">
        <x:f>IF(A188="","",IF(AND(K188&lt;&gt;"Closed",J188&lt;TODAY()),"YES","NO"))</x:f>
      </x:c>
    </x:row>
    <x:row r="189">
      <x:c r="A189" s="20"/>
      <x:c r="B189" s="20"/>
      <x:c r="C189" s="20"/>
      <x:c r="D189" s="20"/>
      <x:c r="E189" s="20"/>
      <x:c r="F189" s="20"/>
      <x:c r="G189" s="20"/>
      <x:c r="H189" s="20"/>
      <x:c r="I189" s="23"/>
      <x:c r="J189" s="23"/>
      <x:c r="K189" s="20"/>
      <x:c r="L189" s="20"/>
      <x:c r="M189" s="20"/>
      <x:c r="N189" s="20"/>
      <x:c r="O189" s="23"/>
      <x:c r="P189" s="20"/>
      <x:c r="Q189" s="23"/>
      <x:c r="R189" s="20" t="str">
        <x:f>IF(A189="","",TODAY()-I189)</x:f>
      </x:c>
      <x:c r="S189" s="20" t="str">
        <x:f>IF(A189="","",IF(AND(K189&lt;&gt;"Closed",J189&lt;TODAY()),"YES","NO"))</x:f>
      </x:c>
    </x:row>
    <x:row r="190">
      <x:c r="A190" s="20"/>
      <x:c r="B190" s="20"/>
      <x:c r="C190" s="20"/>
      <x:c r="D190" s="20"/>
      <x:c r="E190" s="20"/>
      <x:c r="F190" s="20"/>
      <x:c r="G190" s="20"/>
      <x:c r="H190" s="20"/>
      <x:c r="I190" s="23"/>
      <x:c r="J190" s="23"/>
      <x:c r="K190" s="20"/>
      <x:c r="L190" s="20"/>
      <x:c r="M190" s="20"/>
      <x:c r="N190" s="20"/>
      <x:c r="O190" s="23"/>
      <x:c r="P190" s="20"/>
      <x:c r="Q190" s="23"/>
      <x:c r="R190" s="20" t="str">
        <x:f>IF(A190="","",TODAY()-I190)</x:f>
      </x:c>
      <x:c r="S190" s="20" t="str">
        <x:f>IF(A190="","",IF(AND(K190&lt;&gt;"Closed",J190&lt;TODAY()),"YES","NO"))</x:f>
      </x:c>
    </x:row>
    <x:row r="191">
      <x:c r="A191" s="20"/>
      <x:c r="B191" s="20"/>
      <x:c r="C191" s="20"/>
      <x:c r="D191" s="20"/>
      <x:c r="E191" s="20"/>
      <x:c r="F191" s="20"/>
      <x:c r="G191" s="20"/>
      <x:c r="H191" s="20"/>
      <x:c r="I191" s="23"/>
      <x:c r="J191" s="23"/>
      <x:c r="K191" s="20"/>
      <x:c r="L191" s="20"/>
      <x:c r="M191" s="20"/>
      <x:c r="N191" s="20"/>
      <x:c r="O191" s="23"/>
      <x:c r="P191" s="20"/>
      <x:c r="Q191" s="23"/>
      <x:c r="R191" s="20" t="str">
        <x:f>IF(A191="","",TODAY()-I191)</x:f>
      </x:c>
      <x:c r="S191" s="20" t="str">
        <x:f>IF(A191="","",IF(AND(K191&lt;&gt;"Closed",J191&lt;TODAY()),"YES","NO"))</x:f>
      </x:c>
    </x:row>
    <x:row r="192">
      <x:c r="A192" s="20"/>
      <x:c r="B192" s="20"/>
      <x:c r="C192" s="20"/>
      <x:c r="D192" s="20"/>
      <x:c r="E192" s="20"/>
      <x:c r="F192" s="20"/>
      <x:c r="G192" s="20"/>
      <x:c r="H192" s="20"/>
      <x:c r="I192" s="23"/>
      <x:c r="J192" s="23"/>
      <x:c r="K192" s="20"/>
      <x:c r="L192" s="20"/>
      <x:c r="M192" s="20"/>
      <x:c r="N192" s="20"/>
      <x:c r="O192" s="23"/>
      <x:c r="P192" s="20"/>
      <x:c r="Q192" s="23"/>
      <x:c r="R192" s="20" t="str">
        <x:f>IF(A192="","",TODAY()-I192)</x:f>
      </x:c>
      <x:c r="S192" s="20" t="str">
        <x:f>IF(A192="","",IF(AND(K192&lt;&gt;"Closed",J192&lt;TODAY()),"YES","NO"))</x:f>
      </x:c>
    </x:row>
    <x:row r="193">
      <x:c r="A193" s="20"/>
      <x:c r="B193" s="20"/>
      <x:c r="C193" s="20"/>
      <x:c r="D193" s="20"/>
      <x:c r="E193" s="20"/>
      <x:c r="F193" s="20"/>
      <x:c r="G193" s="20"/>
      <x:c r="H193" s="20"/>
      <x:c r="I193" s="23"/>
      <x:c r="J193" s="23"/>
      <x:c r="K193" s="20"/>
      <x:c r="L193" s="20"/>
      <x:c r="M193" s="20"/>
      <x:c r="N193" s="20"/>
      <x:c r="O193" s="23"/>
      <x:c r="P193" s="20"/>
      <x:c r="Q193" s="23"/>
      <x:c r="R193" s="20" t="str">
        <x:f>IF(A193="","",TODAY()-I193)</x:f>
      </x:c>
      <x:c r="S193" s="20" t="str">
        <x:f>IF(A193="","",IF(AND(K193&lt;&gt;"Closed",J193&lt;TODAY()),"YES","NO"))</x:f>
      </x:c>
    </x:row>
    <x:row r="194">
      <x:c r="A194" s="20"/>
      <x:c r="B194" s="20"/>
      <x:c r="C194" s="20"/>
      <x:c r="D194" s="20"/>
      <x:c r="E194" s="20"/>
      <x:c r="F194" s="20"/>
      <x:c r="G194" s="20"/>
      <x:c r="H194" s="20"/>
      <x:c r="I194" s="23"/>
      <x:c r="J194" s="23"/>
      <x:c r="K194" s="20"/>
      <x:c r="L194" s="20"/>
      <x:c r="M194" s="20"/>
      <x:c r="N194" s="20"/>
      <x:c r="O194" s="23"/>
      <x:c r="P194" s="20"/>
      <x:c r="Q194" s="23"/>
      <x:c r="R194" s="20" t="str">
        <x:f>IF(A194="","",TODAY()-I194)</x:f>
      </x:c>
      <x:c r="S194" s="20" t="str">
        <x:f>IF(A194="","",IF(AND(K194&lt;&gt;"Closed",J194&lt;TODAY()),"YES","NO"))</x:f>
      </x:c>
    </x:row>
    <x:row r="195">
      <x:c r="A195" s="20"/>
      <x:c r="B195" s="20"/>
      <x:c r="C195" s="20"/>
      <x:c r="D195" s="20"/>
      <x:c r="E195" s="20"/>
      <x:c r="F195" s="20"/>
      <x:c r="G195" s="20"/>
      <x:c r="H195" s="20"/>
      <x:c r="I195" s="23"/>
      <x:c r="J195" s="23"/>
      <x:c r="K195" s="20"/>
      <x:c r="L195" s="20"/>
      <x:c r="M195" s="20"/>
      <x:c r="N195" s="20"/>
      <x:c r="O195" s="23"/>
      <x:c r="P195" s="20"/>
      <x:c r="Q195" s="23"/>
      <x:c r="R195" s="20" t="str">
        <x:f>IF(A195="","",TODAY()-I195)</x:f>
      </x:c>
      <x:c r="S195" s="20" t="str">
        <x:f>IF(A195="","",IF(AND(K195&lt;&gt;"Closed",J195&lt;TODAY()),"YES","NO"))</x:f>
      </x:c>
    </x:row>
    <x:row r="196">
      <x:c r="A196" s="20"/>
      <x:c r="B196" s="20"/>
      <x:c r="C196" s="20"/>
      <x:c r="D196" s="20"/>
      <x:c r="E196" s="20"/>
      <x:c r="F196" s="20"/>
      <x:c r="G196" s="20"/>
      <x:c r="H196" s="20"/>
      <x:c r="I196" s="23"/>
      <x:c r="J196" s="23"/>
      <x:c r="K196" s="20"/>
      <x:c r="L196" s="20"/>
      <x:c r="M196" s="20"/>
      <x:c r="N196" s="20"/>
      <x:c r="O196" s="23"/>
      <x:c r="P196" s="20"/>
      <x:c r="Q196" s="23"/>
      <x:c r="R196" s="20" t="str">
        <x:f>IF(A196="","",TODAY()-I196)</x:f>
      </x:c>
      <x:c r="S196" s="20" t="str">
        <x:f>IF(A196="","",IF(AND(K196&lt;&gt;"Closed",J196&lt;TODAY()),"YES","NO"))</x:f>
      </x:c>
    </x:row>
    <x:row r="197">
      <x:c r="A197" s="20"/>
      <x:c r="B197" s="20"/>
      <x:c r="C197" s="20"/>
      <x:c r="D197" s="20"/>
      <x:c r="E197" s="20"/>
      <x:c r="F197" s="20"/>
      <x:c r="G197" s="20"/>
      <x:c r="H197" s="20"/>
      <x:c r="I197" s="23"/>
      <x:c r="J197" s="23"/>
      <x:c r="K197" s="20"/>
      <x:c r="L197" s="20"/>
      <x:c r="M197" s="20"/>
      <x:c r="N197" s="20"/>
      <x:c r="O197" s="23"/>
      <x:c r="P197" s="20"/>
      <x:c r="Q197" s="23"/>
      <x:c r="R197" s="20" t="str">
        <x:f>IF(A197="","",TODAY()-I197)</x:f>
      </x:c>
      <x:c r="S197" s="20" t="str">
        <x:f>IF(A197="","",IF(AND(K197&lt;&gt;"Closed",J197&lt;TODAY()),"YES","NO"))</x:f>
      </x:c>
    </x:row>
    <x:row r="198">
      <x:c r="A198" s="20"/>
      <x:c r="B198" s="20"/>
      <x:c r="C198" s="20"/>
      <x:c r="D198" s="20"/>
      <x:c r="E198" s="20"/>
      <x:c r="F198" s="20"/>
      <x:c r="G198" s="20"/>
      <x:c r="H198" s="20"/>
      <x:c r="I198" s="23"/>
      <x:c r="J198" s="23"/>
      <x:c r="K198" s="20"/>
      <x:c r="L198" s="20"/>
      <x:c r="M198" s="20"/>
      <x:c r="N198" s="20"/>
      <x:c r="O198" s="23"/>
      <x:c r="P198" s="20"/>
      <x:c r="Q198" s="23"/>
      <x:c r="R198" s="20" t="str">
        <x:f>IF(A198="","",TODAY()-I198)</x:f>
      </x:c>
      <x:c r="S198" s="20" t="str">
        <x:f>IF(A198="","",IF(AND(K198&lt;&gt;"Closed",J198&lt;TODAY()),"YES","NO"))</x:f>
      </x:c>
    </x:row>
    <x:row r="199">
      <x:c r="A199" s="20"/>
      <x:c r="B199" s="20"/>
      <x:c r="C199" s="20"/>
      <x:c r="D199" s="20"/>
      <x:c r="E199" s="20"/>
      <x:c r="F199" s="20"/>
      <x:c r="G199" s="20"/>
      <x:c r="H199" s="20"/>
      <x:c r="I199" s="23"/>
      <x:c r="J199" s="23"/>
      <x:c r="K199" s="20"/>
      <x:c r="L199" s="20"/>
      <x:c r="M199" s="20"/>
      <x:c r="N199" s="20"/>
      <x:c r="O199" s="23"/>
      <x:c r="P199" s="20"/>
      <x:c r="Q199" s="23"/>
      <x:c r="R199" s="20" t="str">
        <x:f>IF(A199="","",TODAY()-I199)</x:f>
      </x:c>
      <x:c r="S199" s="20" t="str">
        <x:f>IF(A199="","",IF(AND(K199&lt;&gt;"Closed",J199&lt;TODAY()),"YES","NO"))</x:f>
      </x:c>
    </x:row>
    <x:row r="200">
      <x:c r="A200" s="20"/>
      <x:c r="B200" s="20"/>
      <x:c r="C200" s="20"/>
      <x:c r="D200" s="20"/>
      <x:c r="E200" s="20"/>
      <x:c r="F200" s="20"/>
      <x:c r="G200" s="20"/>
      <x:c r="H200" s="20"/>
      <x:c r="I200" s="23"/>
      <x:c r="J200" s="23"/>
      <x:c r="K200" s="20"/>
      <x:c r="L200" s="20"/>
      <x:c r="M200" s="20"/>
      <x:c r="N200" s="20"/>
      <x:c r="O200" s="23"/>
      <x:c r="P200" s="20"/>
      <x:c r="Q200" s="23"/>
      <x:c r="R200" s="20" t="str">
        <x:f>IF(A200="","",TODAY()-I200)</x:f>
      </x:c>
      <x:c r="S200" s="20" t="str">
        <x:f>IF(A200="","",IF(AND(K200&lt;&gt;"Closed",J200&lt;TODAY()),"YES","NO"))</x:f>
      </x:c>
    </x:row>
    <x:row r="201">
      <x:c r="A201" s="20"/>
      <x:c r="B201" s="20"/>
      <x:c r="C201" s="20"/>
      <x:c r="D201" s="20"/>
      <x:c r="E201" s="20"/>
      <x:c r="F201" s="20"/>
      <x:c r="G201" s="20"/>
      <x:c r="H201" s="20"/>
      <x:c r="I201" s="23"/>
      <x:c r="J201" s="23"/>
      <x:c r="K201" s="20"/>
      <x:c r="L201" s="20"/>
      <x:c r="M201" s="20"/>
      <x:c r="N201" s="20"/>
      <x:c r="O201" s="23"/>
      <x:c r="P201" s="20"/>
      <x:c r="Q201" s="23"/>
      <x:c r="R201" s="20" t="str">
        <x:f>IF(A201="","",TODAY()-I201)</x:f>
      </x:c>
      <x:c r="S201" s="20" t="str">
        <x:f>IF(A201="","",IF(AND(K201&lt;&gt;"Closed",J201&lt;TODAY()),"YES","NO"))</x:f>
      </x:c>
    </x:row>
    <x:row r="202">
      <x:c r="A202" s="20"/>
      <x:c r="B202" s="20"/>
      <x:c r="C202" s="20"/>
      <x:c r="D202" s="20"/>
      <x:c r="E202" s="20"/>
      <x:c r="F202" s="20"/>
      <x:c r="G202" s="20"/>
      <x:c r="H202" s="20"/>
      <x:c r="I202" s="23"/>
      <x:c r="J202" s="23"/>
      <x:c r="K202" s="20"/>
      <x:c r="L202" s="20"/>
      <x:c r="M202" s="20"/>
      <x:c r="N202" s="20"/>
      <x:c r="O202" s="23"/>
      <x:c r="P202" s="20"/>
      <x:c r="Q202" s="23"/>
      <x:c r="R202" s="20" t="str">
        <x:f>IF(A202="","",TODAY()-I202)</x:f>
      </x:c>
      <x:c r="S202" s="20" t="str">
        <x:f>IF(A202="","",IF(AND(K202&lt;&gt;"Closed",J202&lt;TODAY()),"YES","NO"))</x:f>
      </x:c>
    </x:row>
    <x:row r="203">
      <x:c r="A203" s="20"/>
      <x:c r="B203" s="20"/>
      <x:c r="C203" s="20"/>
      <x:c r="D203" s="20"/>
      <x:c r="E203" s="20"/>
      <x:c r="F203" s="20"/>
      <x:c r="G203" s="20"/>
      <x:c r="H203" s="20"/>
      <x:c r="I203" s="23"/>
      <x:c r="J203" s="23"/>
      <x:c r="K203" s="20"/>
      <x:c r="L203" s="20"/>
      <x:c r="M203" s="20"/>
      <x:c r="N203" s="20"/>
      <x:c r="O203" s="23"/>
      <x:c r="P203" s="20"/>
      <x:c r="Q203" s="23"/>
      <x:c r="R203" s="20" t="str">
        <x:f>IF(A203="","",TODAY()-I203)</x:f>
      </x:c>
      <x:c r="S203" s="20" t="str">
        <x:f>IF(A203="","",IF(AND(K203&lt;&gt;"Closed",J203&lt;TODAY()),"YES","NO"))</x:f>
      </x:c>
    </x:row>
    <x:row r="204">
      <x:c r="A204" s="21"/>
      <x:c r="B204" s="21"/>
      <x:c r="C204" s="21"/>
      <x:c r="D204" s="21"/>
      <x:c r="E204" s="21"/>
      <x:c r="F204" s="21"/>
      <x:c r="G204" s="21"/>
      <x:c r="H204" s="21"/>
      <x:c r="I204" s="24"/>
      <x:c r="J204" s="24"/>
      <x:c r="K204" s="21"/>
      <x:c r="L204" s="21"/>
      <x:c r="M204" s="21"/>
      <x:c r="N204" s="21"/>
      <x:c r="O204" s="24"/>
      <x:c r="P204" s="21"/>
      <x:c r="Q204" s="24"/>
      <x:c r="R204" s="21" t="str">
        <x:f>IF(A204="","",TODAY()-I204)</x:f>
      </x:c>
      <x:c r="S204" s="21" t="str">
        <x:f>IF(A204="","",IF(AND(K204&lt;&gt;"Closed",J204&lt;TODAY()),"YES","NO"))</x:f>
      </x:c>
    </x:row>
  </x:sheetData>
  <x:mergeCells>
    <x:mergeCell ref="A1:S1"/>
    <x:mergeCell ref="A2:S2"/>
  </x:mergeCells>
  <x:conditionalFormatting sqref="A5:S204">
    <x:cfRule type="expression" dxfId="9" priority="1">
      <x:formula>OR($K5="Open",$K5="Blocked",$K5="Failed",$K5="Rejected",$K5="Not Authorised")</x:formula>
    </x:cfRule>
    <x:cfRule type="expression" dxfId="10" priority="2">
      <x:formula>OR($K5="Approved",$K5="Passed",$K5="Closed",$K5="Authorised")</x:formula>
    </x:cfRule>
    <x:cfRule type="expression" dxfId="11" priority="3">
      <x:formula>OR($K5="Pending",$K5="In Progress",$K5="Investigating",$K5="Conditional")</x:formula>
    </x:cfRule>
  </x:conditionalFormatting>
  <x:dataValidations count="4">
    <x:dataValidation type="list" sqref="C5:C204">
      <x:formula1>"Platform,Client,Event,Release Candidate,Capability,Region"</x:formula1>
    </x:dataValidation>
    <x:dataValidation type="list" sqref="G5:G204">
      <x:formula1>"Critical,High,Medium,Low"</x:formula1>
    </x:dataValidation>
    <x:dataValidation type="list" sqref="K5:K204">
      <x:formula1>"Open,In Progress,Blocked,Pending,Closed,Cancelled"</x:formula1>
    </x:dataValidation>
    <x:dataValidation type="list" sqref="L5:L204">
      <x:formula1>"Yes,No"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6efa9d54f214bcc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5" hidden="0" customWidth="1"/>
    <x:col min="5" max="5" width="26" hidden="0" customWidth="1"/>
    <x:col min="6" max="6" width="12" hidden="0" customWidth="1"/>
    <x:col min="7" max="7" width="14" hidden="0" customWidth="1"/>
    <x:col min="8" max="8" width="18" hidden="0" customWidth="1"/>
    <x:col min="9" max="9" width="14" hidden="0" customWidth="1"/>
    <x:col min="10" max="10" width="14" hidden="0" customWidth="1"/>
    <x:col min="11" max="11" width="20" hidden="0" customWidth="1"/>
    <x:col min="12" max="12" width="30" hidden="0" customWidth="1"/>
    <x:col min="13" max="13" width="36" hidden="0" customWidth="1"/>
    <x:col min="14" max="14" width="30" hidden="0" customWidth="1"/>
    <x:col min="15" max="15" width="30" hidden="0" customWidth="1"/>
    <x:col min="16" max="16" width="18" hidden="0" customWidth="1"/>
    <x:col min="17" max="17" width="18" hidden="0" customWidth="1"/>
    <x:col min="18" max="18" width="14" hidden="0" customWidth="1"/>
    <x:col min="19" max="19" width="14" hidden="0" customWidth="1"/>
    <x:col min="20" max="20" width="16" hidden="0" customWidth="1"/>
    <x:col min="21" max="21" width="14" hidden="0" customWidth="1"/>
    <x:col min="22" max="22" width="12" hidden="0" customWidth="1"/>
    <x:col min="23" max="23" width="12" hidden="0" customWidth="1"/>
  </x:cols>
  <x:sheetData>
    <x:row r="1" ht="34" customHeight="1">
      <x:c r="A1" s="3" t="str">
        <x:v>DEFECTS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</x:row>
    <x:row r="2" ht="28" customHeight="1">
      <x:c r="A2" s="7" t="str">
        <x:v>All acceptance and production defects. Severity is impact-based; closure requires retest evidence.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  <x:c r="R2" s="7"/>
      <x:c r="S2" s="7"/>
      <x:c r="T2" s="7"/>
      <x:c r="U2" s="7"/>
      <x:c r="V2" s="7"/>
      <x:c r="W2" s="7"/>
    </x:row>
    <x:row r="4" ht="32" customHeight="1">
      <x:c r="A4" s="12" t="str">
        <x:v>Defect ID*</x:v>
      </x:c>
      <x:c r="B4" s="12" t="str">
        <x:v>Event ID</x:v>
      </x:c>
      <x:c r="C4" s="12" t="str">
        <x:v>Candidate ID*</x:v>
      </x:c>
      <x:c r="D4" s="12" t="str">
        <x:v>Found In*</x:v>
      </x:c>
      <x:c r="E4" s="12" t="str">
        <x:v>Title*</x:v>
      </x:c>
      <x:c r="F4" s="12" t="str">
        <x:v>Severity*</x:v>
      </x:c>
      <x:c r="G4" s="12" t="str">
        <x:v>Status*</x:v>
      </x:c>
      <x:c r="H4" s="12" t="str">
        <x:v>Owner*</x:v>
      </x:c>
      <x:c r="I4" s="12" t="str">
        <x:v>Found Date*</x:v>
      </x:c>
      <x:c r="J4" s="12" t="str">
        <x:v>Due Date</x:v>
      </x:c>
      <x:c r="K4" s="12" t="str">
        <x:v>Affected Capability*</x:v>
      </x:c>
      <x:c r="L4" s="12" t="str">
        <x:v>Guest / Operational Impact</x:v>
      </x:c>
      <x:c r="M4" s="12" t="str">
        <x:v>Reproduction Steps*</x:v>
      </x:c>
      <x:c r="N4" s="12" t="str">
        <x:v>Expected Result*</x:v>
      </x:c>
      <x:c r="O4" s="12" t="str">
        <x:v>Actual Result*</x:v>
      </x:c>
      <x:c r="P4" s="12" t="str">
        <x:v>Fix Commit</x:v>
      </x:c>
      <x:c r="Q4" s="12" t="str">
        <x:v>Retest Evidence ID</x:v>
      </x:c>
      <x:c r="R4" s="12" t="str">
        <x:v>Retest Result</x:v>
      </x:c>
      <x:c r="S4" s="12" t="str">
        <x:v>Closed Date</x:v>
      </x:c>
      <x:c r="T4" s="12" t="str">
        <x:v>Exception ID</x:v>
      </x:c>
      <x:c r="U4" s="12" t="str">
        <x:v>Last Updated*</x:v>
      </x:c>
      <x:c r="V4" s="12" t="str">
        <x:v>Age (days)</x:v>
      </x:c>
      <x:c r="W4" s="12" t="str">
        <x:v>Overdue?</x:v>
      </x:c>
    </x:row>
    <x:row r="5">
      <x:c r="A5" s="19"/>
      <x:c r="B5" s="19"/>
      <x:c r="C5" s="19"/>
      <x:c r="D5" s="19"/>
      <x:c r="E5" s="19"/>
      <x:c r="F5" s="19"/>
      <x:c r="G5" s="19"/>
      <x:c r="H5" s="19"/>
      <x:c r="I5" s="22"/>
      <x:c r="J5" s="22"/>
      <x:c r="K5" s="19"/>
      <x:c r="L5" s="19"/>
      <x:c r="M5" s="19"/>
      <x:c r="N5" s="19"/>
      <x:c r="O5" s="19"/>
      <x:c r="P5" s="19"/>
      <x:c r="Q5" s="19"/>
      <x:c r="R5" s="19"/>
      <x:c r="S5" s="22"/>
      <x:c r="T5" s="19"/>
      <x:c r="U5" s="22"/>
      <x:c r="V5" s="19" t="str">
        <x:f>IF(A5="","",TODAY()-I5)</x:f>
      </x:c>
      <x:c r="W5" s="19" t="str">
        <x:f>IF(A5="","",IF(AND(G5&lt;&gt;"Closed",G5&lt;&gt;"Accepted Risk",J5&lt;TODAY()),"YES","NO"))</x:f>
      </x:c>
    </x:row>
    <x:row r="6">
      <x:c r="A6" s="20"/>
      <x:c r="B6" s="20"/>
      <x:c r="C6" s="20"/>
      <x:c r="D6" s="20"/>
      <x:c r="E6" s="20"/>
      <x:c r="F6" s="20"/>
      <x:c r="G6" s="20"/>
      <x:c r="H6" s="20"/>
      <x:c r="I6" s="23"/>
      <x:c r="J6" s="23"/>
      <x:c r="K6" s="20"/>
      <x:c r="L6" s="20"/>
      <x:c r="M6" s="20"/>
      <x:c r="N6" s="20"/>
      <x:c r="O6" s="20"/>
      <x:c r="P6" s="20"/>
      <x:c r="Q6" s="20"/>
      <x:c r="R6" s="20"/>
      <x:c r="S6" s="23"/>
      <x:c r="T6" s="20"/>
      <x:c r="U6" s="23"/>
      <x:c r="V6" s="20" t="str">
        <x:f>IF(A6="","",TODAY()-I6)</x:f>
      </x:c>
      <x:c r="W6" s="20" t="str">
        <x:f>IF(A6="","",IF(AND(G6&lt;&gt;"Closed",G6&lt;&gt;"Accepted Risk",J6&lt;TODAY()),"YES","NO"))</x:f>
      </x:c>
    </x:row>
    <x:row r="7">
      <x:c r="A7" s="20"/>
      <x:c r="B7" s="20"/>
      <x:c r="C7" s="20"/>
      <x:c r="D7" s="20"/>
      <x:c r="E7" s="20"/>
      <x:c r="F7" s="20"/>
      <x:c r="G7" s="20"/>
      <x:c r="H7" s="20"/>
      <x:c r="I7" s="23"/>
      <x:c r="J7" s="23"/>
      <x:c r="K7" s="20"/>
      <x:c r="L7" s="20"/>
      <x:c r="M7" s="20"/>
      <x:c r="N7" s="20"/>
      <x:c r="O7" s="20"/>
      <x:c r="P7" s="20"/>
      <x:c r="Q7" s="20"/>
      <x:c r="R7" s="20"/>
      <x:c r="S7" s="23"/>
      <x:c r="T7" s="20"/>
      <x:c r="U7" s="23"/>
      <x:c r="V7" s="20" t="str">
        <x:f>IF(A7="","",TODAY()-I7)</x:f>
      </x:c>
      <x:c r="W7" s="20" t="str">
        <x:f>IF(A7="","",IF(AND(G7&lt;&gt;"Closed",G7&lt;&gt;"Accepted Risk",J7&lt;TODAY()),"YES","NO"))</x:f>
      </x:c>
    </x:row>
    <x:row r="8">
      <x:c r="A8" s="20"/>
      <x:c r="B8" s="20"/>
      <x:c r="C8" s="20"/>
      <x:c r="D8" s="20"/>
      <x:c r="E8" s="20"/>
      <x:c r="F8" s="20"/>
      <x:c r="G8" s="20"/>
      <x:c r="H8" s="20"/>
      <x:c r="I8" s="23"/>
      <x:c r="J8" s="23"/>
      <x:c r="K8" s="20"/>
      <x:c r="L8" s="20"/>
      <x:c r="M8" s="20"/>
      <x:c r="N8" s="20"/>
      <x:c r="O8" s="20"/>
      <x:c r="P8" s="20"/>
      <x:c r="Q8" s="20"/>
      <x:c r="R8" s="20"/>
      <x:c r="S8" s="23"/>
      <x:c r="T8" s="20"/>
      <x:c r="U8" s="23"/>
      <x:c r="V8" s="20" t="str">
        <x:f>IF(A8="","",TODAY()-I8)</x:f>
      </x:c>
      <x:c r="W8" s="20" t="str">
        <x:f>IF(A8="","",IF(AND(G8&lt;&gt;"Closed",G8&lt;&gt;"Accepted Risk",J8&lt;TODAY()),"YES","NO"))</x:f>
      </x:c>
    </x:row>
    <x:row r="9">
      <x:c r="A9" s="20"/>
      <x:c r="B9" s="20"/>
      <x:c r="C9" s="20"/>
      <x:c r="D9" s="20"/>
      <x:c r="E9" s="20"/>
      <x:c r="F9" s="20"/>
      <x:c r="G9" s="20"/>
      <x:c r="H9" s="20"/>
      <x:c r="I9" s="23"/>
      <x:c r="J9" s="23"/>
      <x:c r="K9" s="20"/>
      <x:c r="L9" s="20"/>
      <x:c r="M9" s="20"/>
      <x:c r="N9" s="20"/>
      <x:c r="O9" s="20"/>
      <x:c r="P9" s="20"/>
      <x:c r="Q9" s="20"/>
      <x:c r="R9" s="20"/>
      <x:c r="S9" s="23"/>
      <x:c r="T9" s="20"/>
      <x:c r="U9" s="23"/>
      <x:c r="V9" s="20" t="str">
        <x:f>IF(A9="","",TODAY()-I9)</x:f>
      </x:c>
      <x:c r="W9" s="20" t="str">
        <x:f>IF(A9="","",IF(AND(G9&lt;&gt;"Closed",G9&lt;&gt;"Accepted Risk",J9&lt;TODAY()),"YES","NO"))</x:f>
      </x:c>
    </x:row>
    <x:row r="10">
      <x:c r="A10" s="20"/>
      <x:c r="B10" s="20"/>
      <x:c r="C10" s="20"/>
      <x:c r="D10" s="20"/>
      <x:c r="E10" s="20"/>
      <x:c r="F10" s="20"/>
      <x:c r="G10" s="20"/>
      <x:c r="H10" s="20"/>
      <x:c r="I10" s="23"/>
      <x:c r="J10" s="23"/>
      <x:c r="K10" s="20"/>
      <x:c r="L10" s="20"/>
      <x:c r="M10" s="20"/>
      <x:c r="N10" s="20"/>
      <x:c r="O10" s="20"/>
      <x:c r="P10" s="20"/>
      <x:c r="Q10" s="20"/>
      <x:c r="R10" s="20"/>
      <x:c r="S10" s="23"/>
      <x:c r="T10" s="20"/>
      <x:c r="U10" s="23"/>
      <x:c r="V10" s="20" t="str">
        <x:f>IF(A10="","",TODAY()-I10)</x:f>
      </x:c>
      <x:c r="W10" s="20" t="str">
        <x:f>IF(A10="","",IF(AND(G10&lt;&gt;"Closed",G10&lt;&gt;"Accepted Risk",J10&lt;TODAY()),"YES","NO"))</x:f>
      </x:c>
    </x:row>
    <x:row r="11">
      <x:c r="A11" s="20"/>
      <x:c r="B11" s="20"/>
      <x:c r="C11" s="20"/>
      <x:c r="D11" s="20"/>
      <x:c r="E11" s="20"/>
      <x:c r="F11" s="20"/>
      <x:c r="G11" s="20"/>
      <x:c r="H11" s="20"/>
      <x:c r="I11" s="23"/>
      <x:c r="J11" s="23"/>
      <x:c r="K11" s="20"/>
      <x:c r="L11" s="20"/>
      <x:c r="M11" s="20"/>
      <x:c r="N11" s="20"/>
      <x:c r="O11" s="20"/>
      <x:c r="P11" s="20"/>
      <x:c r="Q11" s="20"/>
      <x:c r="R11" s="20"/>
      <x:c r="S11" s="23"/>
      <x:c r="T11" s="20"/>
      <x:c r="U11" s="23"/>
      <x:c r="V11" s="20" t="str">
        <x:f>IF(A11="","",TODAY()-I11)</x:f>
      </x:c>
      <x:c r="W11" s="20" t="str">
        <x:f>IF(A11="","",IF(AND(G11&lt;&gt;"Closed",G11&lt;&gt;"Accepted Risk",J11&lt;TODAY()),"YES","NO"))</x:f>
      </x:c>
    </x:row>
    <x:row r="12">
      <x:c r="A12" s="20"/>
      <x:c r="B12" s="20"/>
      <x:c r="C12" s="20"/>
      <x:c r="D12" s="20"/>
      <x:c r="E12" s="20"/>
      <x:c r="F12" s="20"/>
      <x:c r="G12" s="20"/>
      <x:c r="H12" s="20"/>
      <x:c r="I12" s="23"/>
      <x:c r="J12" s="23"/>
      <x:c r="K12" s="20"/>
      <x:c r="L12" s="20"/>
      <x:c r="M12" s="20"/>
      <x:c r="N12" s="20"/>
      <x:c r="O12" s="20"/>
      <x:c r="P12" s="20"/>
      <x:c r="Q12" s="20"/>
      <x:c r="R12" s="20"/>
      <x:c r="S12" s="23"/>
      <x:c r="T12" s="20"/>
      <x:c r="U12" s="23"/>
      <x:c r="V12" s="20" t="str">
        <x:f>IF(A12="","",TODAY()-I12)</x:f>
      </x:c>
      <x:c r="W12" s="20" t="str">
        <x:f>IF(A12="","",IF(AND(G12&lt;&gt;"Closed",G12&lt;&gt;"Accepted Risk",J12&lt;TODAY()),"YES","NO"))</x:f>
      </x:c>
    </x:row>
    <x:row r="13">
      <x:c r="A13" s="20"/>
      <x:c r="B13" s="20"/>
      <x:c r="C13" s="20"/>
      <x:c r="D13" s="20"/>
      <x:c r="E13" s="20"/>
      <x:c r="F13" s="20"/>
      <x:c r="G13" s="20"/>
      <x:c r="H13" s="20"/>
      <x:c r="I13" s="23"/>
      <x:c r="J13" s="23"/>
      <x:c r="K13" s="20"/>
      <x:c r="L13" s="20"/>
      <x:c r="M13" s="20"/>
      <x:c r="N13" s="20"/>
      <x:c r="O13" s="20"/>
      <x:c r="P13" s="20"/>
      <x:c r="Q13" s="20"/>
      <x:c r="R13" s="20"/>
      <x:c r="S13" s="23"/>
      <x:c r="T13" s="20"/>
      <x:c r="U13" s="23"/>
      <x:c r="V13" s="20" t="str">
        <x:f>IF(A13="","",TODAY()-I13)</x:f>
      </x:c>
      <x:c r="W13" s="20" t="str">
        <x:f>IF(A13="","",IF(AND(G13&lt;&gt;"Closed",G13&lt;&gt;"Accepted Risk",J13&lt;TODAY()),"YES","NO"))</x:f>
      </x:c>
    </x:row>
    <x:row r="14">
      <x:c r="A14" s="20"/>
      <x:c r="B14" s="20"/>
      <x:c r="C14" s="20"/>
      <x:c r="D14" s="20"/>
      <x:c r="E14" s="20"/>
      <x:c r="F14" s="20"/>
      <x:c r="G14" s="20"/>
      <x:c r="H14" s="20"/>
      <x:c r="I14" s="23"/>
      <x:c r="J14" s="23"/>
      <x:c r="K14" s="20"/>
      <x:c r="L14" s="20"/>
      <x:c r="M14" s="20"/>
      <x:c r="N14" s="20"/>
      <x:c r="O14" s="20"/>
      <x:c r="P14" s="20"/>
      <x:c r="Q14" s="20"/>
      <x:c r="R14" s="20"/>
      <x:c r="S14" s="23"/>
      <x:c r="T14" s="20"/>
      <x:c r="U14" s="23"/>
      <x:c r="V14" s="20" t="str">
        <x:f>IF(A14="","",TODAY()-I14)</x:f>
      </x:c>
      <x:c r="W14" s="20" t="str">
        <x:f>IF(A14="","",IF(AND(G14&lt;&gt;"Closed",G14&lt;&gt;"Accepted Risk",J14&lt;TODAY()),"YES","NO"))</x:f>
      </x:c>
    </x:row>
    <x:row r="15">
      <x:c r="A15" s="20"/>
      <x:c r="B15" s="20"/>
      <x:c r="C15" s="20"/>
      <x:c r="D15" s="20"/>
      <x:c r="E15" s="20"/>
      <x:c r="F15" s="20"/>
      <x:c r="G15" s="20"/>
      <x:c r="H15" s="20"/>
      <x:c r="I15" s="23"/>
      <x:c r="J15" s="23"/>
      <x:c r="K15" s="20"/>
      <x:c r="L15" s="20"/>
      <x:c r="M15" s="20"/>
      <x:c r="N15" s="20"/>
      <x:c r="O15" s="20"/>
      <x:c r="P15" s="20"/>
      <x:c r="Q15" s="20"/>
      <x:c r="R15" s="20"/>
      <x:c r="S15" s="23"/>
      <x:c r="T15" s="20"/>
      <x:c r="U15" s="23"/>
      <x:c r="V15" s="20" t="str">
        <x:f>IF(A15="","",TODAY()-I15)</x:f>
      </x:c>
      <x:c r="W15" s="20" t="str">
        <x:f>IF(A15="","",IF(AND(G15&lt;&gt;"Closed",G15&lt;&gt;"Accepted Risk",J15&lt;TODAY()),"YES","NO"))</x:f>
      </x:c>
    </x:row>
    <x:row r="16">
      <x:c r="A16" s="20"/>
      <x:c r="B16" s="20"/>
      <x:c r="C16" s="20"/>
      <x:c r="D16" s="20"/>
      <x:c r="E16" s="20"/>
      <x:c r="F16" s="20"/>
      <x:c r="G16" s="20"/>
      <x:c r="H16" s="20"/>
      <x:c r="I16" s="23"/>
      <x:c r="J16" s="23"/>
      <x:c r="K16" s="20"/>
      <x:c r="L16" s="20"/>
      <x:c r="M16" s="20"/>
      <x:c r="N16" s="20"/>
      <x:c r="O16" s="20"/>
      <x:c r="P16" s="20"/>
      <x:c r="Q16" s="20"/>
      <x:c r="R16" s="20"/>
      <x:c r="S16" s="23"/>
      <x:c r="T16" s="20"/>
      <x:c r="U16" s="23"/>
      <x:c r="V16" s="20" t="str">
        <x:f>IF(A16="","",TODAY()-I16)</x:f>
      </x:c>
      <x:c r="W16" s="20" t="str">
        <x:f>IF(A16="","",IF(AND(G16&lt;&gt;"Closed",G16&lt;&gt;"Accepted Risk",J16&lt;TODAY()),"YES","NO"))</x:f>
      </x:c>
    </x:row>
    <x:row r="17">
      <x:c r="A17" s="20"/>
      <x:c r="B17" s="20"/>
      <x:c r="C17" s="20"/>
      <x:c r="D17" s="20"/>
      <x:c r="E17" s="20"/>
      <x:c r="F17" s="20"/>
      <x:c r="G17" s="20"/>
      <x:c r="H17" s="20"/>
      <x:c r="I17" s="23"/>
      <x:c r="J17" s="23"/>
      <x:c r="K17" s="20"/>
      <x:c r="L17" s="20"/>
      <x:c r="M17" s="20"/>
      <x:c r="N17" s="20"/>
      <x:c r="O17" s="20"/>
      <x:c r="P17" s="20"/>
      <x:c r="Q17" s="20"/>
      <x:c r="R17" s="20"/>
      <x:c r="S17" s="23"/>
      <x:c r="T17" s="20"/>
      <x:c r="U17" s="23"/>
      <x:c r="V17" s="20" t="str">
        <x:f>IF(A17="","",TODAY()-I17)</x:f>
      </x:c>
      <x:c r="W17" s="20" t="str">
        <x:f>IF(A17="","",IF(AND(G17&lt;&gt;"Closed",G17&lt;&gt;"Accepted Risk",J17&lt;TODAY()),"YES","NO"))</x:f>
      </x:c>
    </x:row>
    <x:row r="18">
      <x:c r="A18" s="20"/>
      <x:c r="B18" s="20"/>
      <x:c r="C18" s="20"/>
      <x:c r="D18" s="20"/>
      <x:c r="E18" s="20"/>
      <x:c r="F18" s="20"/>
      <x:c r="G18" s="20"/>
      <x:c r="H18" s="20"/>
      <x:c r="I18" s="23"/>
      <x:c r="J18" s="23"/>
      <x:c r="K18" s="20"/>
      <x:c r="L18" s="20"/>
      <x:c r="M18" s="20"/>
      <x:c r="N18" s="20"/>
      <x:c r="O18" s="20"/>
      <x:c r="P18" s="20"/>
      <x:c r="Q18" s="20"/>
      <x:c r="R18" s="20"/>
      <x:c r="S18" s="23"/>
      <x:c r="T18" s="20"/>
      <x:c r="U18" s="23"/>
      <x:c r="V18" s="20" t="str">
        <x:f>IF(A18="","",TODAY()-I18)</x:f>
      </x:c>
      <x:c r="W18" s="20" t="str">
        <x:f>IF(A18="","",IF(AND(G18&lt;&gt;"Closed",G18&lt;&gt;"Accepted Risk",J18&lt;TODAY()),"YES","NO"))</x:f>
      </x:c>
    </x:row>
    <x:row r="19">
      <x:c r="A19" s="20"/>
      <x:c r="B19" s="20"/>
      <x:c r="C19" s="20"/>
      <x:c r="D19" s="20"/>
      <x:c r="E19" s="20"/>
      <x:c r="F19" s="20"/>
      <x:c r="G19" s="20"/>
      <x:c r="H19" s="20"/>
      <x:c r="I19" s="23"/>
      <x:c r="J19" s="23"/>
      <x:c r="K19" s="20"/>
      <x:c r="L19" s="20"/>
      <x:c r="M19" s="20"/>
      <x:c r="N19" s="20"/>
      <x:c r="O19" s="20"/>
      <x:c r="P19" s="20"/>
      <x:c r="Q19" s="20"/>
      <x:c r="R19" s="20"/>
      <x:c r="S19" s="23"/>
      <x:c r="T19" s="20"/>
      <x:c r="U19" s="23"/>
      <x:c r="V19" s="20" t="str">
        <x:f>IF(A19="","",TODAY()-I19)</x:f>
      </x:c>
      <x:c r="W19" s="20" t="str">
        <x:f>IF(A19="","",IF(AND(G19&lt;&gt;"Closed",G19&lt;&gt;"Accepted Risk",J19&lt;TODAY()),"YES","NO"))</x:f>
      </x:c>
    </x:row>
    <x:row r="20">
      <x:c r="A20" s="20"/>
      <x:c r="B20" s="20"/>
      <x:c r="C20" s="20"/>
      <x:c r="D20" s="20"/>
      <x:c r="E20" s="20"/>
      <x:c r="F20" s="20"/>
      <x:c r="G20" s="20"/>
      <x:c r="H20" s="20"/>
      <x:c r="I20" s="23"/>
      <x:c r="J20" s="23"/>
      <x:c r="K20" s="20"/>
      <x:c r="L20" s="20"/>
      <x:c r="M20" s="20"/>
      <x:c r="N20" s="20"/>
      <x:c r="O20" s="20"/>
      <x:c r="P20" s="20"/>
      <x:c r="Q20" s="20"/>
      <x:c r="R20" s="20"/>
      <x:c r="S20" s="23"/>
      <x:c r="T20" s="20"/>
      <x:c r="U20" s="23"/>
      <x:c r="V20" s="20" t="str">
        <x:f>IF(A20="","",TODAY()-I20)</x:f>
      </x:c>
      <x:c r="W20" s="20" t="str">
        <x:f>IF(A20="","",IF(AND(G20&lt;&gt;"Closed",G20&lt;&gt;"Accepted Risk",J20&lt;TODAY()),"YES","NO"))</x:f>
      </x:c>
    </x:row>
    <x:row r="21">
      <x:c r="A21" s="20"/>
      <x:c r="B21" s="20"/>
      <x:c r="C21" s="20"/>
      <x:c r="D21" s="20"/>
      <x:c r="E21" s="20"/>
      <x:c r="F21" s="20"/>
      <x:c r="G21" s="20"/>
      <x:c r="H21" s="20"/>
      <x:c r="I21" s="23"/>
      <x:c r="J21" s="23"/>
      <x:c r="K21" s="20"/>
      <x:c r="L21" s="20"/>
      <x:c r="M21" s="20"/>
      <x:c r="N21" s="20"/>
      <x:c r="O21" s="20"/>
      <x:c r="P21" s="20"/>
      <x:c r="Q21" s="20"/>
      <x:c r="R21" s="20"/>
      <x:c r="S21" s="23"/>
      <x:c r="T21" s="20"/>
      <x:c r="U21" s="23"/>
      <x:c r="V21" s="20" t="str">
        <x:f>IF(A21="","",TODAY()-I21)</x:f>
      </x:c>
      <x:c r="W21" s="20" t="str">
        <x:f>IF(A21="","",IF(AND(G21&lt;&gt;"Closed",G21&lt;&gt;"Accepted Risk",J21&lt;TODAY()),"YES","NO"))</x:f>
      </x:c>
    </x:row>
    <x:row r="22">
      <x:c r="A22" s="20"/>
      <x:c r="B22" s="20"/>
      <x:c r="C22" s="20"/>
      <x:c r="D22" s="20"/>
      <x:c r="E22" s="20"/>
      <x:c r="F22" s="20"/>
      <x:c r="G22" s="20"/>
      <x:c r="H22" s="20"/>
      <x:c r="I22" s="23"/>
      <x:c r="J22" s="23"/>
      <x:c r="K22" s="20"/>
      <x:c r="L22" s="20"/>
      <x:c r="M22" s="20"/>
      <x:c r="N22" s="20"/>
      <x:c r="O22" s="20"/>
      <x:c r="P22" s="20"/>
      <x:c r="Q22" s="20"/>
      <x:c r="R22" s="20"/>
      <x:c r="S22" s="23"/>
      <x:c r="T22" s="20"/>
      <x:c r="U22" s="23"/>
      <x:c r="V22" s="20" t="str">
        <x:f>IF(A22="","",TODAY()-I22)</x:f>
      </x:c>
      <x:c r="W22" s="20" t="str">
        <x:f>IF(A22="","",IF(AND(G22&lt;&gt;"Closed",G22&lt;&gt;"Accepted Risk",J22&lt;TODAY()),"YES","NO"))</x:f>
      </x:c>
    </x:row>
    <x:row r="23">
      <x:c r="A23" s="20"/>
      <x:c r="B23" s="20"/>
      <x:c r="C23" s="20"/>
      <x:c r="D23" s="20"/>
      <x:c r="E23" s="20"/>
      <x:c r="F23" s="20"/>
      <x:c r="G23" s="20"/>
      <x:c r="H23" s="20"/>
      <x:c r="I23" s="23"/>
      <x:c r="J23" s="23"/>
      <x:c r="K23" s="20"/>
      <x:c r="L23" s="20"/>
      <x:c r="M23" s="20"/>
      <x:c r="N23" s="20"/>
      <x:c r="O23" s="20"/>
      <x:c r="P23" s="20"/>
      <x:c r="Q23" s="20"/>
      <x:c r="R23" s="20"/>
      <x:c r="S23" s="23"/>
      <x:c r="T23" s="20"/>
      <x:c r="U23" s="23"/>
      <x:c r="V23" s="20" t="str">
        <x:f>IF(A23="","",TODAY()-I23)</x:f>
      </x:c>
      <x:c r="W23" s="20" t="str">
        <x:f>IF(A23="","",IF(AND(G23&lt;&gt;"Closed",G23&lt;&gt;"Accepted Risk",J23&lt;TODAY()),"YES","NO"))</x:f>
      </x:c>
    </x:row>
    <x:row r="24">
      <x:c r="A24" s="20"/>
      <x:c r="B24" s="20"/>
      <x:c r="C24" s="20"/>
      <x:c r="D24" s="20"/>
      <x:c r="E24" s="20"/>
      <x:c r="F24" s="20"/>
      <x:c r="G24" s="20"/>
      <x:c r="H24" s="20"/>
      <x:c r="I24" s="23"/>
      <x:c r="J24" s="23"/>
      <x:c r="K24" s="20"/>
      <x:c r="L24" s="20"/>
      <x:c r="M24" s="20"/>
      <x:c r="N24" s="20"/>
      <x:c r="O24" s="20"/>
      <x:c r="P24" s="20"/>
      <x:c r="Q24" s="20"/>
      <x:c r="R24" s="20"/>
      <x:c r="S24" s="23"/>
      <x:c r="T24" s="20"/>
      <x:c r="U24" s="23"/>
      <x:c r="V24" s="20" t="str">
        <x:f>IF(A24="","",TODAY()-I24)</x:f>
      </x:c>
      <x:c r="W24" s="20" t="str">
        <x:f>IF(A24="","",IF(AND(G24&lt;&gt;"Closed",G24&lt;&gt;"Accepted Risk",J24&lt;TODAY()),"YES","NO"))</x:f>
      </x:c>
    </x:row>
    <x:row r="25">
      <x:c r="A25" s="20"/>
      <x:c r="B25" s="20"/>
      <x:c r="C25" s="20"/>
      <x:c r="D25" s="20"/>
      <x:c r="E25" s="20"/>
      <x:c r="F25" s="20"/>
      <x:c r="G25" s="20"/>
      <x:c r="H25" s="20"/>
      <x:c r="I25" s="23"/>
      <x:c r="J25" s="23"/>
      <x:c r="K25" s="20"/>
      <x:c r="L25" s="20"/>
      <x:c r="M25" s="20"/>
      <x:c r="N25" s="20"/>
      <x:c r="O25" s="20"/>
      <x:c r="P25" s="20"/>
      <x:c r="Q25" s="20"/>
      <x:c r="R25" s="20"/>
      <x:c r="S25" s="23"/>
      <x:c r="T25" s="20"/>
      <x:c r="U25" s="23"/>
      <x:c r="V25" s="20" t="str">
        <x:f>IF(A25="","",TODAY()-I25)</x:f>
      </x:c>
      <x:c r="W25" s="20" t="str">
        <x:f>IF(A25="","",IF(AND(G25&lt;&gt;"Closed",G25&lt;&gt;"Accepted Risk",J25&lt;TODAY()),"YES","NO"))</x:f>
      </x:c>
    </x:row>
    <x:row r="26">
      <x:c r="A26" s="20"/>
      <x:c r="B26" s="20"/>
      <x:c r="C26" s="20"/>
      <x:c r="D26" s="20"/>
      <x:c r="E26" s="20"/>
      <x:c r="F26" s="20"/>
      <x:c r="G26" s="20"/>
      <x:c r="H26" s="20"/>
      <x:c r="I26" s="23"/>
      <x:c r="J26" s="23"/>
      <x:c r="K26" s="20"/>
      <x:c r="L26" s="20"/>
      <x:c r="M26" s="20"/>
      <x:c r="N26" s="20"/>
      <x:c r="O26" s="20"/>
      <x:c r="P26" s="20"/>
      <x:c r="Q26" s="20"/>
      <x:c r="R26" s="20"/>
      <x:c r="S26" s="23"/>
      <x:c r="T26" s="20"/>
      <x:c r="U26" s="23"/>
      <x:c r="V26" s="20" t="str">
        <x:f>IF(A26="","",TODAY()-I26)</x:f>
      </x:c>
      <x:c r="W26" s="20" t="str">
        <x:f>IF(A26="","",IF(AND(G26&lt;&gt;"Closed",G26&lt;&gt;"Accepted Risk",J26&lt;TODAY()),"YES","NO"))</x:f>
      </x:c>
    </x:row>
    <x:row r="27">
      <x:c r="A27" s="20"/>
      <x:c r="B27" s="20"/>
      <x:c r="C27" s="20"/>
      <x:c r="D27" s="20"/>
      <x:c r="E27" s="20"/>
      <x:c r="F27" s="20"/>
      <x:c r="G27" s="20"/>
      <x:c r="H27" s="20"/>
      <x:c r="I27" s="23"/>
      <x:c r="J27" s="23"/>
      <x:c r="K27" s="20"/>
      <x:c r="L27" s="20"/>
      <x:c r="M27" s="20"/>
      <x:c r="N27" s="20"/>
      <x:c r="O27" s="20"/>
      <x:c r="P27" s="20"/>
      <x:c r="Q27" s="20"/>
      <x:c r="R27" s="20"/>
      <x:c r="S27" s="23"/>
      <x:c r="T27" s="20"/>
      <x:c r="U27" s="23"/>
      <x:c r="V27" s="20" t="str">
        <x:f>IF(A27="","",TODAY()-I27)</x:f>
      </x:c>
      <x:c r="W27" s="20" t="str">
        <x:f>IF(A27="","",IF(AND(G27&lt;&gt;"Closed",G27&lt;&gt;"Accepted Risk",J27&lt;TODAY()),"YES","NO"))</x:f>
      </x:c>
    </x:row>
    <x:row r="28">
      <x:c r="A28" s="20"/>
      <x:c r="B28" s="20"/>
      <x:c r="C28" s="20"/>
      <x:c r="D28" s="20"/>
      <x:c r="E28" s="20"/>
      <x:c r="F28" s="20"/>
      <x:c r="G28" s="20"/>
      <x:c r="H28" s="20"/>
      <x:c r="I28" s="23"/>
      <x:c r="J28" s="23"/>
      <x:c r="K28" s="20"/>
      <x:c r="L28" s="20"/>
      <x:c r="M28" s="20"/>
      <x:c r="N28" s="20"/>
      <x:c r="O28" s="20"/>
      <x:c r="P28" s="20"/>
      <x:c r="Q28" s="20"/>
      <x:c r="R28" s="20"/>
      <x:c r="S28" s="23"/>
      <x:c r="T28" s="20"/>
      <x:c r="U28" s="23"/>
      <x:c r="V28" s="20" t="str">
        <x:f>IF(A28="","",TODAY()-I28)</x:f>
      </x:c>
      <x:c r="W28" s="20" t="str">
        <x:f>IF(A28="","",IF(AND(G28&lt;&gt;"Closed",G28&lt;&gt;"Accepted Risk",J28&lt;TODAY()),"YES","NO"))</x:f>
      </x:c>
    </x:row>
    <x:row r="29">
      <x:c r="A29" s="20"/>
      <x:c r="B29" s="20"/>
      <x:c r="C29" s="20"/>
      <x:c r="D29" s="20"/>
      <x:c r="E29" s="20"/>
      <x:c r="F29" s="20"/>
      <x:c r="G29" s="20"/>
      <x:c r="H29" s="20"/>
      <x:c r="I29" s="23"/>
      <x:c r="J29" s="23"/>
      <x:c r="K29" s="20"/>
      <x:c r="L29" s="20"/>
      <x:c r="M29" s="20"/>
      <x:c r="N29" s="20"/>
      <x:c r="O29" s="20"/>
      <x:c r="P29" s="20"/>
      <x:c r="Q29" s="20"/>
      <x:c r="R29" s="20"/>
      <x:c r="S29" s="23"/>
      <x:c r="T29" s="20"/>
      <x:c r="U29" s="23"/>
      <x:c r="V29" s="20" t="str">
        <x:f>IF(A29="","",TODAY()-I29)</x:f>
      </x:c>
      <x:c r="W29" s="20" t="str">
        <x:f>IF(A29="","",IF(AND(G29&lt;&gt;"Closed",G29&lt;&gt;"Accepted Risk",J29&lt;TODAY()),"YES","NO"))</x:f>
      </x:c>
    </x:row>
    <x:row r="30">
      <x:c r="A30" s="20"/>
      <x:c r="B30" s="20"/>
      <x:c r="C30" s="20"/>
      <x:c r="D30" s="20"/>
      <x:c r="E30" s="20"/>
      <x:c r="F30" s="20"/>
      <x:c r="G30" s="20"/>
      <x:c r="H30" s="20"/>
      <x:c r="I30" s="23"/>
      <x:c r="J30" s="23"/>
      <x:c r="K30" s="20"/>
      <x:c r="L30" s="20"/>
      <x:c r="M30" s="20"/>
      <x:c r="N30" s="20"/>
      <x:c r="O30" s="20"/>
      <x:c r="P30" s="20"/>
      <x:c r="Q30" s="20"/>
      <x:c r="R30" s="20"/>
      <x:c r="S30" s="23"/>
      <x:c r="T30" s="20"/>
      <x:c r="U30" s="23"/>
      <x:c r="V30" s="20" t="str">
        <x:f>IF(A30="","",TODAY()-I30)</x:f>
      </x:c>
      <x:c r="W30" s="20" t="str">
        <x:f>IF(A30="","",IF(AND(G30&lt;&gt;"Closed",G30&lt;&gt;"Accepted Risk",J30&lt;TODAY()),"YES","NO"))</x:f>
      </x:c>
    </x:row>
    <x:row r="31">
      <x:c r="A31" s="20"/>
      <x:c r="B31" s="20"/>
      <x:c r="C31" s="20"/>
      <x:c r="D31" s="20"/>
      <x:c r="E31" s="20"/>
      <x:c r="F31" s="20"/>
      <x:c r="G31" s="20"/>
      <x:c r="H31" s="20"/>
      <x:c r="I31" s="23"/>
      <x:c r="J31" s="23"/>
      <x:c r="K31" s="20"/>
      <x:c r="L31" s="20"/>
      <x:c r="M31" s="20"/>
      <x:c r="N31" s="20"/>
      <x:c r="O31" s="20"/>
      <x:c r="P31" s="20"/>
      <x:c r="Q31" s="20"/>
      <x:c r="R31" s="20"/>
      <x:c r="S31" s="23"/>
      <x:c r="T31" s="20"/>
      <x:c r="U31" s="23"/>
      <x:c r="V31" s="20" t="str">
        <x:f>IF(A31="","",TODAY()-I31)</x:f>
      </x:c>
      <x:c r="W31" s="20" t="str">
        <x:f>IF(A31="","",IF(AND(G31&lt;&gt;"Closed",G31&lt;&gt;"Accepted Risk",J31&lt;TODAY()),"YES","NO"))</x:f>
      </x:c>
    </x:row>
    <x:row r="32">
      <x:c r="A32" s="20"/>
      <x:c r="B32" s="20"/>
      <x:c r="C32" s="20"/>
      <x:c r="D32" s="20"/>
      <x:c r="E32" s="20"/>
      <x:c r="F32" s="20"/>
      <x:c r="G32" s="20"/>
      <x:c r="H32" s="20"/>
      <x:c r="I32" s="23"/>
      <x:c r="J32" s="23"/>
      <x:c r="K32" s="20"/>
      <x:c r="L32" s="20"/>
      <x:c r="M32" s="20"/>
      <x:c r="N32" s="20"/>
      <x:c r="O32" s="20"/>
      <x:c r="P32" s="20"/>
      <x:c r="Q32" s="20"/>
      <x:c r="R32" s="20"/>
      <x:c r="S32" s="23"/>
      <x:c r="T32" s="20"/>
      <x:c r="U32" s="23"/>
      <x:c r="V32" s="20" t="str">
        <x:f>IF(A32="","",TODAY()-I32)</x:f>
      </x:c>
      <x:c r="W32" s="20" t="str">
        <x:f>IF(A32="","",IF(AND(G32&lt;&gt;"Closed",G32&lt;&gt;"Accepted Risk",J32&lt;TODAY()),"YES","NO"))</x:f>
      </x:c>
    </x:row>
    <x:row r="33">
      <x:c r="A33" s="20"/>
      <x:c r="B33" s="20"/>
      <x:c r="C33" s="20"/>
      <x:c r="D33" s="20"/>
      <x:c r="E33" s="20"/>
      <x:c r="F33" s="20"/>
      <x:c r="G33" s="20"/>
      <x:c r="H33" s="20"/>
      <x:c r="I33" s="23"/>
      <x:c r="J33" s="23"/>
      <x:c r="K33" s="20"/>
      <x:c r="L33" s="20"/>
      <x:c r="M33" s="20"/>
      <x:c r="N33" s="20"/>
      <x:c r="O33" s="20"/>
      <x:c r="P33" s="20"/>
      <x:c r="Q33" s="20"/>
      <x:c r="R33" s="20"/>
      <x:c r="S33" s="23"/>
      <x:c r="T33" s="20"/>
      <x:c r="U33" s="23"/>
      <x:c r="V33" s="20" t="str">
        <x:f>IF(A33="","",TODAY()-I33)</x:f>
      </x:c>
      <x:c r="W33" s="20" t="str">
        <x:f>IF(A33="","",IF(AND(G33&lt;&gt;"Closed",G33&lt;&gt;"Accepted Risk",J33&lt;TODAY()),"YES","NO"))</x:f>
      </x:c>
    </x:row>
    <x:row r="34">
      <x:c r="A34" s="20"/>
      <x:c r="B34" s="20"/>
      <x:c r="C34" s="20"/>
      <x:c r="D34" s="20"/>
      <x:c r="E34" s="20"/>
      <x:c r="F34" s="20"/>
      <x:c r="G34" s="20"/>
      <x:c r="H34" s="20"/>
      <x:c r="I34" s="23"/>
      <x:c r="J34" s="23"/>
      <x:c r="K34" s="20"/>
      <x:c r="L34" s="20"/>
      <x:c r="M34" s="20"/>
      <x:c r="N34" s="20"/>
      <x:c r="O34" s="20"/>
      <x:c r="P34" s="20"/>
      <x:c r="Q34" s="20"/>
      <x:c r="R34" s="20"/>
      <x:c r="S34" s="23"/>
      <x:c r="T34" s="20"/>
      <x:c r="U34" s="23"/>
      <x:c r="V34" s="20" t="str">
        <x:f>IF(A34="","",TODAY()-I34)</x:f>
      </x:c>
      <x:c r="W34" s="20" t="str">
        <x:f>IF(A34="","",IF(AND(G34&lt;&gt;"Closed",G34&lt;&gt;"Accepted Risk",J34&lt;TODAY()),"YES","NO"))</x:f>
      </x:c>
    </x:row>
    <x:row r="35">
      <x:c r="A35" s="20"/>
      <x:c r="B35" s="20"/>
      <x:c r="C35" s="20"/>
      <x:c r="D35" s="20"/>
      <x:c r="E35" s="20"/>
      <x:c r="F35" s="20"/>
      <x:c r="G35" s="20"/>
      <x:c r="H35" s="20"/>
      <x:c r="I35" s="23"/>
      <x:c r="J35" s="23"/>
      <x:c r="K35" s="20"/>
      <x:c r="L35" s="20"/>
      <x:c r="M35" s="20"/>
      <x:c r="N35" s="20"/>
      <x:c r="O35" s="20"/>
      <x:c r="P35" s="20"/>
      <x:c r="Q35" s="20"/>
      <x:c r="R35" s="20"/>
      <x:c r="S35" s="23"/>
      <x:c r="T35" s="20"/>
      <x:c r="U35" s="23"/>
      <x:c r="V35" s="20" t="str">
        <x:f>IF(A35="","",TODAY()-I35)</x:f>
      </x:c>
      <x:c r="W35" s="20" t="str">
        <x:f>IF(A35="","",IF(AND(G35&lt;&gt;"Closed",G35&lt;&gt;"Accepted Risk",J35&lt;TODAY()),"YES","NO"))</x:f>
      </x:c>
    </x:row>
    <x:row r="36">
      <x:c r="A36" s="20"/>
      <x:c r="B36" s="20"/>
      <x:c r="C36" s="20"/>
      <x:c r="D36" s="20"/>
      <x:c r="E36" s="20"/>
      <x:c r="F36" s="20"/>
      <x:c r="G36" s="20"/>
      <x:c r="H36" s="20"/>
      <x:c r="I36" s="23"/>
      <x:c r="J36" s="23"/>
      <x:c r="K36" s="20"/>
      <x:c r="L36" s="20"/>
      <x:c r="M36" s="20"/>
      <x:c r="N36" s="20"/>
      <x:c r="O36" s="20"/>
      <x:c r="P36" s="20"/>
      <x:c r="Q36" s="20"/>
      <x:c r="R36" s="20"/>
      <x:c r="S36" s="23"/>
      <x:c r="T36" s="20"/>
      <x:c r="U36" s="23"/>
      <x:c r="V36" s="20" t="str">
        <x:f>IF(A36="","",TODAY()-I36)</x:f>
      </x:c>
      <x:c r="W36" s="20" t="str">
        <x:f>IF(A36="","",IF(AND(G36&lt;&gt;"Closed",G36&lt;&gt;"Accepted Risk",J36&lt;TODAY()),"YES","NO"))</x:f>
      </x:c>
    </x:row>
    <x:row r="37">
      <x:c r="A37" s="20"/>
      <x:c r="B37" s="20"/>
      <x:c r="C37" s="20"/>
      <x:c r="D37" s="20"/>
      <x:c r="E37" s="20"/>
      <x:c r="F37" s="20"/>
      <x:c r="G37" s="20"/>
      <x:c r="H37" s="20"/>
      <x:c r="I37" s="23"/>
      <x:c r="J37" s="23"/>
      <x:c r="K37" s="20"/>
      <x:c r="L37" s="20"/>
      <x:c r="M37" s="20"/>
      <x:c r="N37" s="20"/>
      <x:c r="O37" s="20"/>
      <x:c r="P37" s="20"/>
      <x:c r="Q37" s="20"/>
      <x:c r="R37" s="20"/>
      <x:c r="S37" s="23"/>
      <x:c r="T37" s="20"/>
      <x:c r="U37" s="23"/>
      <x:c r="V37" s="20" t="str">
        <x:f>IF(A37="","",TODAY()-I37)</x:f>
      </x:c>
      <x:c r="W37" s="20" t="str">
        <x:f>IF(A37="","",IF(AND(G37&lt;&gt;"Closed",G37&lt;&gt;"Accepted Risk",J37&lt;TODAY()),"YES","NO"))</x:f>
      </x:c>
    </x:row>
    <x:row r="38">
      <x:c r="A38" s="20"/>
      <x:c r="B38" s="20"/>
      <x:c r="C38" s="20"/>
      <x:c r="D38" s="20"/>
      <x:c r="E38" s="20"/>
      <x:c r="F38" s="20"/>
      <x:c r="G38" s="20"/>
      <x:c r="H38" s="20"/>
      <x:c r="I38" s="23"/>
      <x:c r="J38" s="23"/>
      <x:c r="K38" s="20"/>
      <x:c r="L38" s="20"/>
      <x:c r="M38" s="20"/>
      <x:c r="N38" s="20"/>
      <x:c r="O38" s="20"/>
      <x:c r="P38" s="20"/>
      <x:c r="Q38" s="20"/>
      <x:c r="R38" s="20"/>
      <x:c r="S38" s="23"/>
      <x:c r="T38" s="20"/>
      <x:c r="U38" s="23"/>
      <x:c r="V38" s="20" t="str">
        <x:f>IF(A38="","",TODAY()-I38)</x:f>
      </x:c>
      <x:c r="W38" s="20" t="str">
        <x:f>IF(A38="","",IF(AND(G38&lt;&gt;"Closed",G38&lt;&gt;"Accepted Risk",J38&lt;TODAY()),"YES","NO"))</x:f>
      </x:c>
    </x:row>
    <x:row r="39">
      <x:c r="A39" s="20"/>
      <x:c r="B39" s="20"/>
      <x:c r="C39" s="20"/>
      <x:c r="D39" s="20"/>
      <x:c r="E39" s="20"/>
      <x:c r="F39" s="20"/>
      <x:c r="G39" s="20"/>
      <x:c r="H39" s="20"/>
      <x:c r="I39" s="23"/>
      <x:c r="J39" s="23"/>
      <x:c r="K39" s="20"/>
      <x:c r="L39" s="20"/>
      <x:c r="M39" s="20"/>
      <x:c r="N39" s="20"/>
      <x:c r="O39" s="20"/>
      <x:c r="P39" s="20"/>
      <x:c r="Q39" s="20"/>
      <x:c r="R39" s="20"/>
      <x:c r="S39" s="23"/>
      <x:c r="T39" s="20"/>
      <x:c r="U39" s="23"/>
      <x:c r="V39" s="20" t="str">
        <x:f>IF(A39="","",TODAY()-I39)</x:f>
      </x:c>
      <x:c r="W39" s="20" t="str">
        <x:f>IF(A39="","",IF(AND(G39&lt;&gt;"Closed",G39&lt;&gt;"Accepted Risk",J39&lt;TODAY()),"YES","NO"))</x:f>
      </x:c>
    </x:row>
    <x:row r="40">
      <x:c r="A40" s="20"/>
      <x:c r="B40" s="20"/>
      <x:c r="C40" s="20"/>
      <x:c r="D40" s="20"/>
      <x:c r="E40" s="20"/>
      <x:c r="F40" s="20"/>
      <x:c r="G40" s="20"/>
      <x:c r="H40" s="20"/>
      <x:c r="I40" s="23"/>
      <x:c r="J40" s="23"/>
      <x:c r="K40" s="20"/>
      <x:c r="L40" s="20"/>
      <x:c r="M40" s="20"/>
      <x:c r="N40" s="20"/>
      <x:c r="O40" s="20"/>
      <x:c r="P40" s="20"/>
      <x:c r="Q40" s="20"/>
      <x:c r="R40" s="20"/>
      <x:c r="S40" s="23"/>
      <x:c r="T40" s="20"/>
      <x:c r="U40" s="23"/>
      <x:c r="V40" s="20" t="str">
        <x:f>IF(A40="","",TODAY()-I40)</x:f>
      </x:c>
      <x:c r="W40" s="20" t="str">
        <x:f>IF(A40="","",IF(AND(G40&lt;&gt;"Closed",G40&lt;&gt;"Accepted Risk",J40&lt;TODAY()),"YES","NO"))</x:f>
      </x:c>
    </x:row>
    <x:row r="41">
      <x:c r="A41" s="20"/>
      <x:c r="B41" s="20"/>
      <x:c r="C41" s="20"/>
      <x:c r="D41" s="20"/>
      <x:c r="E41" s="20"/>
      <x:c r="F41" s="20"/>
      <x:c r="G41" s="20"/>
      <x:c r="H41" s="20"/>
      <x:c r="I41" s="23"/>
      <x:c r="J41" s="23"/>
      <x:c r="K41" s="20"/>
      <x:c r="L41" s="20"/>
      <x:c r="M41" s="20"/>
      <x:c r="N41" s="20"/>
      <x:c r="O41" s="20"/>
      <x:c r="P41" s="20"/>
      <x:c r="Q41" s="20"/>
      <x:c r="R41" s="20"/>
      <x:c r="S41" s="23"/>
      <x:c r="T41" s="20"/>
      <x:c r="U41" s="23"/>
      <x:c r="V41" s="20" t="str">
        <x:f>IF(A41="","",TODAY()-I41)</x:f>
      </x:c>
      <x:c r="W41" s="20" t="str">
        <x:f>IF(A41="","",IF(AND(G41&lt;&gt;"Closed",G41&lt;&gt;"Accepted Risk",J41&lt;TODAY()),"YES","NO"))</x:f>
      </x:c>
    </x:row>
    <x:row r="42">
      <x:c r="A42" s="20"/>
      <x:c r="B42" s="20"/>
      <x:c r="C42" s="20"/>
      <x:c r="D42" s="20"/>
      <x:c r="E42" s="20"/>
      <x:c r="F42" s="20"/>
      <x:c r="G42" s="20"/>
      <x:c r="H42" s="20"/>
      <x:c r="I42" s="23"/>
      <x:c r="J42" s="23"/>
      <x:c r="K42" s="20"/>
      <x:c r="L42" s="20"/>
      <x:c r="M42" s="20"/>
      <x:c r="N42" s="20"/>
      <x:c r="O42" s="20"/>
      <x:c r="P42" s="20"/>
      <x:c r="Q42" s="20"/>
      <x:c r="R42" s="20"/>
      <x:c r="S42" s="23"/>
      <x:c r="T42" s="20"/>
      <x:c r="U42" s="23"/>
      <x:c r="V42" s="20" t="str">
        <x:f>IF(A42="","",TODAY()-I42)</x:f>
      </x:c>
      <x:c r="W42" s="20" t="str">
        <x:f>IF(A42="","",IF(AND(G42&lt;&gt;"Closed",G42&lt;&gt;"Accepted Risk",J42&lt;TODAY()),"YES","NO"))</x:f>
      </x:c>
    </x:row>
    <x:row r="43">
      <x:c r="A43" s="20"/>
      <x:c r="B43" s="20"/>
      <x:c r="C43" s="20"/>
      <x:c r="D43" s="20"/>
      <x:c r="E43" s="20"/>
      <x:c r="F43" s="20"/>
      <x:c r="G43" s="20"/>
      <x:c r="H43" s="20"/>
      <x:c r="I43" s="23"/>
      <x:c r="J43" s="23"/>
      <x:c r="K43" s="20"/>
      <x:c r="L43" s="20"/>
      <x:c r="M43" s="20"/>
      <x:c r="N43" s="20"/>
      <x:c r="O43" s="20"/>
      <x:c r="P43" s="20"/>
      <x:c r="Q43" s="20"/>
      <x:c r="R43" s="20"/>
      <x:c r="S43" s="23"/>
      <x:c r="T43" s="20"/>
      <x:c r="U43" s="23"/>
      <x:c r="V43" s="20" t="str">
        <x:f>IF(A43="","",TODAY()-I43)</x:f>
      </x:c>
      <x:c r="W43" s="20" t="str">
        <x:f>IF(A43="","",IF(AND(G43&lt;&gt;"Closed",G43&lt;&gt;"Accepted Risk",J43&lt;TODAY()),"YES","NO"))</x:f>
      </x:c>
    </x:row>
    <x:row r="44">
      <x:c r="A44" s="20"/>
      <x:c r="B44" s="20"/>
      <x:c r="C44" s="20"/>
      <x:c r="D44" s="20"/>
      <x:c r="E44" s="20"/>
      <x:c r="F44" s="20"/>
      <x:c r="G44" s="20"/>
      <x:c r="H44" s="20"/>
      <x:c r="I44" s="23"/>
      <x:c r="J44" s="23"/>
      <x:c r="K44" s="20"/>
      <x:c r="L44" s="20"/>
      <x:c r="M44" s="20"/>
      <x:c r="N44" s="20"/>
      <x:c r="O44" s="20"/>
      <x:c r="P44" s="20"/>
      <x:c r="Q44" s="20"/>
      <x:c r="R44" s="20"/>
      <x:c r="S44" s="23"/>
      <x:c r="T44" s="20"/>
      <x:c r="U44" s="23"/>
      <x:c r="V44" s="20" t="str">
        <x:f>IF(A44="","",TODAY()-I44)</x:f>
      </x:c>
      <x:c r="W44" s="20" t="str">
        <x:f>IF(A44="","",IF(AND(G44&lt;&gt;"Closed",G44&lt;&gt;"Accepted Risk",J44&lt;TODAY()),"YES","NO"))</x:f>
      </x:c>
    </x:row>
    <x:row r="45">
      <x:c r="A45" s="20"/>
      <x:c r="B45" s="20"/>
      <x:c r="C45" s="20"/>
      <x:c r="D45" s="20"/>
      <x:c r="E45" s="20"/>
      <x:c r="F45" s="20"/>
      <x:c r="G45" s="20"/>
      <x:c r="H45" s="20"/>
      <x:c r="I45" s="23"/>
      <x:c r="J45" s="23"/>
      <x:c r="K45" s="20"/>
      <x:c r="L45" s="20"/>
      <x:c r="M45" s="20"/>
      <x:c r="N45" s="20"/>
      <x:c r="O45" s="20"/>
      <x:c r="P45" s="20"/>
      <x:c r="Q45" s="20"/>
      <x:c r="R45" s="20"/>
      <x:c r="S45" s="23"/>
      <x:c r="T45" s="20"/>
      <x:c r="U45" s="23"/>
      <x:c r="V45" s="20" t="str">
        <x:f>IF(A45="","",TODAY()-I45)</x:f>
      </x:c>
      <x:c r="W45" s="20" t="str">
        <x:f>IF(A45="","",IF(AND(G45&lt;&gt;"Closed",G45&lt;&gt;"Accepted Risk",J45&lt;TODAY()),"YES","NO"))</x:f>
      </x:c>
    </x:row>
    <x:row r="46">
      <x:c r="A46" s="20"/>
      <x:c r="B46" s="20"/>
      <x:c r="C46" s="20"/>
      <x:c r="D46" s="20"/>
      <x:c r="E46" s="20"/>
      <x:c r="F46" s="20"/>
      <x:c r="G46" s="20"/>
      <x:c r="H46" s="20"/>
      <x:c r="I46" s="23"/>
      <x:c r="J46" s="23"/>
      <x:c r="K46" s="20"/>
      <x:c r="L46" s="20"/>
      <x:c r="M46" s="20"/>
      <x:c r="N46" s="20"/>
      <x:c r="O46" s="20"/>
      <x:c r="P46" s="20"/>
      <x:c r="Q46" s="20"/>
      <x:c r="R46" s="20"/>
      <x:c r="S46" s="23"/>
      <x:c r="T46" s="20"/>
      <x:c r="U46" s="23"/>
      <x:c r="V46" s="20" t="str">
        <x:f>IF(A46="","",TODAY()-I46)</x:f>
      </x:c>
      <x:c r="W46" s="20" t="str">
        <x:f>IF(A46="","",IF(AND(G46&lt;&gt;"Closed",G46&lt;&gt;"Accepted Risk",J46&lt;TODAY()),"YES","NO"))</x:f>
      </x:c>
    </x:row>
    <x:row r="47">
      <x:c r="A47" s="20"/>
      <x:c r="B47" s="20"/>
      <x:c r="C47" s="20"/>
      <x:c r="D47" s="20"/>
      <x:c r="E47" s="20"/>
      <x:c r="F47" s="20"/>
      <x:c r="G47" s="20"/>
      <x:c r="H47" s="20"/>
      <x:c r="I47" s="23"/>
      <x:c r="J47" s="23"/>
      <x:c r="K47" s="20"/>
      <x:c r="L47" s="20"/>
      <x:c r="M47" s="20"/>
      <x:c r="N47" s="20"/>
      <x:c r="O47" s="20"/>
      <x:c r="P47" s="20"/>
      <x:c r="Q47" s="20"/>
      <x:c r="R47" s="20"/>
      <x:c r="S47" s="23"/>
      <x:c r="T47" s="20"/>
      <x:c r="U47" s="23"/>
      <x:c r="V47" s="20" t="str">
        <x:f>IF(A47="","",TODAY()-I47)</x:f>
      </x:c>
      <x:c r="W47" s="20" t="str">
        <x:f>IF(A47="","",IF(AND(G47&lt;&gt;"Closed",G47&lt;&gt;"Accepted Risk",J47&lt;TODAY()),"YES","NO"))</x:f>
      </x:c>
    </x:row>
    <x:row r="48">
      <x:c r="A48" s="20"/>
      <x:c r="B48" s="20"/>
      <x:c r="C48" s="20"/>
      <x:c r="D48" s="20"/>
      <x:c r="E48" s="20"/>
      <x:c r="F48" s="20"/>
      <x:c r="G48" s="20"/>
      <x:c r="H48" s="20"/>
      <x:c r="I48" s="23"/>
      <x:c r="J48" s="23"/>
      <x:c r="K48" s="20"/>
      <x:c r="L48" s="20"/>
      <x:c r="M48" s="20"/>
      <x:c r="N48" s="20"/>
      <x:c r="O48" s="20"/>
      <x:c r="P48" s="20"/>
      <x:c r="Q48" s="20"/>
      <x:c r="R48" s="20"/>
      <x:c r="S48" s="23"/>
      <x:c r="T48" s="20"/>
      <x:c r="U48" s="23"/>
      <x:c r="V48" s="20" t="str">
        <x:f>IF(A48="","",TODAY()-I48)</x:f>
      </x:c>
      <x:c r="W48" s="20" t="str">
        <x:f>IF(A48="","",IF(AND(G48&lt;&gt;"Closed",G48&lt;&gt;"Accepted Risk",J48&lt;TODAY()),"YES","NO"))</x:f>
      </x:c>
    </x:row>
    <x:row r="49">
      <x:c r="A49" s="20"/>
      <x:c r="B49" s="20"/>
      <x:c r="C49" s="20"/>
      <x:c r="D49" s="20"/>
      <x:c r="E49" s="20"/>
      <x:c r="F49" s="20"/>
      <x:c r="G49" s="20"/>
      <x:c r="H49" s="20"/>
      <x:c r="I49" s="23"/>
      <x:c r="J49" s="23"/>
      <x:c r="K49" s="20"/>
      <x:c r="L49" s="20"/>
      <x:c r="M49" s="20"/>
      <x:c r="N49" s="20"/>
      <x:c r="O49" s="20"/>
      <x:c r="P49" s="20"/>
      <x:c r="Q49" s="20"/>
      <x:c r="R49" s="20"/>
      <x:c r="S49" s="23"/>
      <x:c r="T49" s="20"/>
      <x:c r="U49" s="23"/>
      <x:c r="V49" s="20" t="str">
        <x:f>IF(A49="","",TODAY()-I49)</x:f>
      </x:c>
      <x:c r="W49" s="20" t="str">
        <x:f>IF(A49="","",IF(AND(G49&lt;&gt;"Closed",G49&lt;&gt;"Accepted Risk",J49&lt;TODAY()),"YES","NO"))</x:f>
      </x:c>
    </x:row>
    <x:row r="50">
      <x:c r="A50" s="20"/>
      <x:c r="B50" s="20"/>
      <x:c r="C50" s="20"/>
      <x:c r="D50" s="20"/>
      <x:c r="E50" s="20"/>
      <x:c r="F50" s="20"/>
      <x:c r="G50" s="20"/>
      <x:c r="H50" s="20"/>
      <x:c r="I50" s="23"/>
      <x:c r="J50" s="23"/>
      <x:c r="K50" s="20"/>
      <x:c r="L50" s="20"/>
      <x:c r="M50" s="20"/>
      <x:c r="N50" s="20"/>
      <x:c r="O50" s="20"/>
      <x:c r="P50" s="20"/>
      <x:c r="Q50" s="20"/>
      <x:c r="R50" s="20"/>
      <x:c r="S50" s="23"/>
      <x:c r="T50" s="20"/>
      <x:c r="U50" s="23"/>
      <x:c r="V50" s="20" t="str">
        <x:f>IF(A50="","",TODAY()-I50)</x:f>
      </x:c>
      <x:c r="W50" s="20" t="str">
        <x:f>IF(A50="","",IF(AND(G50&lt;&gt;"Closed",G50&lt;&gt;"Accepted Risk",J50&lt;TODAY()),"YES","NO"))</x:f>
      </x:c>
    </x:row>
    <x:row r="51">
      <x:c r="A51" s="20"/>
      <x:c r="B51" s="20"/>
      <x:c r="C51" s="20"/>
      <x:c r="D51" s="20"/>
      <x:c r="E51" s="20"/>
      <x:c r="F51" s="20"/>
      <x:c r="G51" s="20"/>
      <x:c r="H51" s="20"/>
      <x:c r="I51" s="23"/>
      <x:c r="J51" s="23"/>
      <x:c r="K51" s="20"/>
      <x:c r="L51" s="20"/>
      <x:c r="M51" s="20"/>
      <x:c r="N51" s="20"/>
      <x:c r="O51" s="20"/>
      <x:c r="P51" s="20"/>
      <x:c r="Q51" s="20"/>
      <x:c r="R51" s="20"/>
      <x:c r="S51" s="23"/>
      <x:c r="T51" s="20"/>
      <x:c r="U51" s="23"/>
      <x:c r="V51" s="20" t="str">
        <x:f>IF(A51="","",TODAY()-I51)</x:f>
      </x:c>
      <x:c r="W51" s="20" t="str">
        <x:f>IF(A51="","",IF(AND(G51&lt;&gt;"Closed",G51&lt;&gt;"Accepted Risk",J51&lt;TODAY()),"YES","NO"))</x:f>
      </x:c>
    </x:row>
    <x:row r="52">
      <x:c r="A52" s="20"/>
      <x:c r="B52" s="20"/>
      <x:c r="C52" s="20"/>
      <x:c r="D52" s="20"/>
      <x:c r="E52" s="20"/>
      <x:c r="F52" s="20"/>
      <x:c r="G52" s="20"/>
      <x:c r="H52" s="20"/>
      <x:c r="I52" s="23"/>
      <x:c r="J52" s="23"/>
      <x:c r="K52" s="20"/>
      <x:c r="L52" s="20"/>
      <x:c r="M52" s="20"/>
      <x:c r="N52" s="20"/>
      <x:c r="O52" s="20"/>
      <x:c r="P52" s="20"/>
      <x:c r="Q52" s="20"/>
      <x:c r="R52" s="20"/>
      <x:c r="S52" s="23"/>
      <x:c r="T52" s="20"/>
      <x:c r="U52" s="23"/>
      <x:c r="V52" s="20" t="str">
        <x:f>IF(A52="","",TODAY()-I52)</x:f>
      </x:c>
      <x:c r="W52" s="20" t="str">
        <x:f>IF(A52="","",IF(AND(G52&lt;&gt;"Closed",G52&lt;&gt;"Accepted Risk",J52&lt;TODAY()),"YES","NO"))</x:f>
      </x:c>
    </x:row>
    <x:row r="53">
      <x:c r="A53" s="20"/>
      <x:c r="B53" s="20"/>
      <x:c r="C53" s="20"/>
      <x:c r="D53" s="20"/>
      <x:c r="E53" s="20"/>
      <x:c r="F53" s="20"/>
      <x:c r="G53" s="20"/>
      <x:c r="H53" s="20"/>
      <x:c r="I53" s="23"/>
      <x:c r="J53" s="23"/>
      <x:c r="K53" s="20"/>
      <x:c r="L53" s="20"/>
      <x:c r="M53" s="20"/>
      <x:c r="N53" s="20"/>
      <x:c r="O53" s="20"/>
      <x:c r="P53" s="20"/>
      <x:c r="Q53" s="20"/>
      <x:c r="R53" s="20"/>
      <x:c r="S53" s="23"/>
      <x:c r="T53" s="20"/>
      <x:c r="U53" s="23"/>
      <x:c r="V53" s="20" t="str">
        <x:f>IF(A53="","",TODAY()-I53)</x:f>
      </x:c>
      <x:c r="W53" s="20" t="str">
        <x:f>IF(A53="","",IF(AND(G53&lt;&gt;"Closed",G53&lt;&gt;"Accepted Risk",J53&lt;TODAY()),"YES","NO"))</x:f>
      </x:c>
    </x:row>
    <x:row r="54">
      <x:c r="A54" s="20"/>
      <x:c r="B54" s="20"/>
      <x:c r="C54" s="20"/>
      <x:c r="D54" s="20"/>
      <x:c r="E54" s="20"/>
      <x:c r="F54" s="20"/>
      <x:c r="G54" s="20"/>
      <x:c r="H54" s="20"/>
      <x:c r="I54" s="23"/>
      <x:c r="J54" s="23"/>
      <x:c r="K54" s="20"/>
      <x:c r="L54" s="20"/>
      <x:c r="M54" s="20"/>
      <x:c r="N54" s="20"/>
      <x:c r="O54" s="20"/>
      <x:c r="P54" s="20"/>
      <x:c r="Q54" s="20"/>
      <x:c r="R54" s="20"/>
      <x:c r="S54" s="23"/>
      <x:c r="T54" s="20"/>
      <x:c r="U54" s="23"/>
      <x:c r="V54" s="20" t="str">
        <x:f>IF(A54="","",TODAY()-I54)</x:f>
      </x:c>
      <x:c r="W54" s="20" t="str">
        <x:f>IF(A54="","",IF(AND(G54&lt;&gt;"Closed",G54&lt;&gt;"Accepted Risk",J54&lt;TODAY()),"YES","NO"))</x:f>
      </x:c>
    </x:row>
    <x:row r="55">
      <x:c r="A55" s="20"/>
      <x:c r="B55" s="20"/>
      <x:c r="C55" s="20"/>
      <x:c r="D55" s="20"/>
      <x:c r="E55" s="20"/>
      <x:c r="F55" s="20"/>
      <x:c r="G55" s="20"/>
      <x:c r="H55" s="20"/>
      <x:c r="I55" s="23"/>
      <x:c r="J55" s="23"/>
      <x:c r="K55" s="20"/>
      <x:c r="L55" s="20"/>
      <x:c r="M55" s="20"/>
      <x:c r="N55" s="20"/>
      <x:c r="O55" s="20"/>
      <x:c r="P55" s="20"/>
      <x:c r="Q55" s="20"/>
      <x:c r="R55" s="20"/>
      <x:c r="S55" s="23"/>
      <x:c r="T55" s="20"/>
      <x:c r="U55" s="23"/>
      <x:c r="V55" s="20" t="str">
        <x:f>IF(A55="","",TODAY()-I55)</x:f>
      </x:c>
      <x:c r="W55" s="20" t="str">
        <x:f>IF(A55="","",IF(AND(G55&lt;&gt;"Closed",G55&lt;&gt;"Accepted Risk",J55&lt;TODAY()),"YES","NO"))</x:f>
      </x:c>
    </x:row>
    <x:row r="56">
      <x:c r="A56" s="20"/>
      <x:c r="B56" s="20"/>
      <x:c r="C56" s="20"/>
      <x:c r="D56" s="20"/>
      <x:c r="E56" s="20"/>
      <x:c r="F56" s="20"/>
      <x:c r="G56" s="20"/>
      <x:c r="H56" s="20"/>
      <x:c r="I56" s="23"/>
      <x:c r="J56" s="23"/>
      <x:c r="K56" s="20"/>
      <x:c r="L56" s="20"/>
      <x:c r="M56" s="20"/>
      <x:c r="N56" s="20"/>
      <x:c r="O56" s="20"/>
      <x:c r="P56" s="20"/>
      <x:c r="Q56" s="20"/>
      <x:c r="R56" s="20"/>
      <x:c r="S56" s="23"/>
      <x:c r="T56" s="20"/>
      <x:c r="U56" s="23"/>
      <x:c r="V56" s="20" t="str">
        <x:f>IF(A56="","",TODAY()-I56)</x:f>
      </x:c>
      <x:c r="W56" s="20" t="str">
        <x:f>IF(A56="","",IF(AND(G56&lt;&gt;"Closed",G56&lt;&gt;"Accepted Risk",J56&lt;TODAY()),"YES","NO"))</x:f>
      </x:c>
    </x:row>
    <x:row r="57">
      <x:c r="A57" s="20"/>
      <x:c r="B57" s="20"/>
      <x:c r="C57" s="20"/>
      <x:c r="D57" s="20"/>
      <x:c r="E57" s="20"/>
      <x:c r="F57" s="20"/>
      <x:c r="G57" s="20"/>
      <x:c r="H57" s="20"/>
      <x:c r="I57" s="23"/>
      <x:c r="J57" s="23"/>
      <x:c r="K57" s="20"/>
      <x:c r="L57" s="20"/>
      <x:c r="M57" s="20"/>
      <x:c r="N57" s="20"/>
      <x:c r="O57" s="20"/>
      <x:c r="P57" s="20"/>
      <x:c r="Q57" s="20"/>
      <x:c r="R57" s="20"/>
      <x:c r="S57" s="23"/>
      <x:c r="T57" s="20"/>
      <x:c r="U57" s="23"/>
      <x:c r="V57" s="20" t="str">
        <x:f>IF(A57="","",TODAY()-I57)</x:f>
      </x:c>
      <x:c r="W57" s="20" t="str">
        <x:f>IF(A57="","",IF(AND(G57&lt;&gt;"Closed",G57&lt;&gt;"Accepted Risk",J57&lt;TODAY()),"YES","NO"))</x:f>
      </x:c>
    </x:row>
    <x:row r="58">
      <x:c r="A58" s="20"/>
      <x:c r="B58" s="20"/>
      <x:c r="C58" s="20"/>
      <x:c r="D58" s="20"/>
      <x:c r="E58" s="20"/>
      <x:c r="F58" s="20"/>
      <x:c r="G58" s="20"/>
      <x:c r="H58" s="20"/>
      <x:c r="I58" s="23"/>
      <x:c r="J58" s="23"/>
      <x:c r="K58" s="20"/>
      <x:c r="L58" s="20"/>
      <x:c r="M58" s="20"/>
      <x:c r="N58" s="20"/>
      <x:c r="O58" s="20"/>
      <x:c r="P58" s="20"/>
      <x:c r="Q58" s="20"/>
      <x:c r="R58" s="20"/>
      <x:c r="S58" s="23"/>
      <x:c r="T58" s="20"/>
      <x:c r="U58" s="23"/>
      <x:c r="V58" s="20" t="str">
        <x:f>IF(A58="","",TODAY()-I58)</x:f>
      </x:c>
      <x:c r="W58" s="20" t="str">
        <x:f>IF(A58="","",IF(AND(G58&lt;&gt;"Closed",G58&lt;&gt;"Accepted Risk",J58&lt;TODAY()),"YES","NO"))</x:f>
      </x:c>
    </x:row>
    <x:row r="59">
      <x:c r="A59" s="20"/>
      <x:c r="B59" s="20"/>
      <x:c r="C59" s="20"/>
      <x:c r="D59" s="20"/>
      <x:c r="E59" s="20"/>
      <x:c r="F59" s="20"/>
      <x:c r="G59" s="20"/>
      <x:c r="H59" s="20"/>
      <x:c r="I59" s="23"/>
      <x:c r="J59" s="23"/>
      <x:c r="K59" s="20"/>
      <x:c r="L59" s="20"/>
      <x:c r="M59" s="20"/>
      <x:c r="N59" s="20"/>
      <x:c r="O59" s="20"/>
      <x:c r="P59" s="20"/>
      <x:c r="Q59" s="20"/>
      <x:c r="R59" s="20"/>
      <x:c r="S59" s="23"/>
      <x:c r="T59" s="20"/>
      <x:c r="U59" s="23"/>
      <x:c r="V59" s="20" t="str">
        <x:f>IF(A59="","",TODAY()-I59)</x:f>
      </x:c>
      <x:c r="W59" s="20" t="str">
        <x:f>IF(A59="","",IF(AND(G59&lt;&gt;"Closed",G59&lt;&gt;"Accepted Risk",J59&lt;TODAY()),"YES","NO"))</x:f>
      </x:c>
    </x:row>
    <x:row r="60">
      <x:c r="A60" s="20"/>
      <x:c r="B60" s="20"/>
      <x:c r="C60" s="20"/>
      <x:c r="D60" s="20"/>
      <x:c r="E60" s="20"/>
      <x:c r="F60" s="20"/>
      <x:c r="G60" s="20"/>
      <x:c r="H60" s="20"/>
      <x:c r="I60" s="23"/>
      <x:c r="J60" s="23"/>
      <x:c r="K60" s="20"/>
      <x:c r="L60" s="20"/>
      <x:c r="M60" s="20"/>
      <x:c r="N60" s="20"/>
      <x:c r="O60" s="20"/>
      <x:c r="P60" s="20"/>
      <x:c r="Q60" s="20"/>
      <x:c r="R60" s="20"/>
      <x:c r="S60" s="23"/>
      <x:c r="T60" s="20"/>
      <x:c r="U60" s="23"/>
      <x:c r="V60" s="20" t="str">
        <x:f>IF(A60="","",TODAY()-I60)</x:f>
      </x:c>
      <x:c r="W60" s="20" t="str">
        <x:f>IF(A60="","",IF(AND(G60&lt;&gt;"Closed",G60&lt;&gt;"Accepted Risk",J60&lt;TODAY()),"YES","NO"))</x:f>
      </x:c>
    </x:row>
    <x:row r="61">
      <x:c r="A61" s="20"/>
      <x:c r="B61" s="20"/>
      <x:c r="C61" s="20"/>
      <x:c r="D61" s="20"/>
      <x:c r="E61" s="20"/>
      <x:c r="F61" s="20"/>
      <x:c r="G61" s="20"/>
      <x:c r="H61" s="20"/>
      <x:c r="I61" s="23"/>
      <x:c r="J61" s="23"/>
      <x:c r="K61" s="20"/>
      <x:c r="L61" s="20"/>
      <x:c r="M61" s="20"/>
      <x:c r="N61" s="20"/>
      <x:c r="O61" s="20"/>
      <x:c r="P61" s="20"/>
      <x:c r="Q61" s="20"/>
      <x:c r="R61" s="20"/>
      <x:c r="S61" s="23"/>
      <x:c r="T61" s="20"/>
      <x:c r="U61" s="23"/>
      <x:c r="V61" s="20" t="str">
        <x:f>IF(A61="","",TODAY()-I61)</x:f>
      </x:c>
      <x:c r="W61" s="20" t="str">
        <x:f>IF(A61="","",IF(AND(G61&lt;&gt;"Closed",G61&lt;&gt;"Accepted Risk",J61&lt;TODAY()),"YES","NO"))</x:f>
      </x:c>
    </x:row>
    <x:row r="62">
      <x:c r="A62" s="20"/>
      <x:c r="B62" s="20"/>
      <x:c r="C62" s="20"/>
      <x:c r="D62" s="20"/>
      <x:c r="E62" s="20"/>
      <x:c r="F62" s="20"/>
      <x:c r="G62" s="20"/>
      <x:c r="H62" s="20"/>
      <x:c r="I62" s="23"/>
      <x:c r="J62" s="23"/>
      <x:c r="K62" s="20"/>
      <x:c r="L62" s="20"/>
      <x:c r="M62" s="20"/>
      <x:c r="N62" s="20"/>
      <x:c r="O62" s="20"/>
      <x:c r="P62" s="20"/>
      <x:c r="Q62" s="20"/>
      <x:c r="R62" s="20"/>
      <x:c r="S62" s="23"/>
      <x:c r="T62" s="20"/>
      <x:c r="U62" s="23"/>
      <x:c r="V62" s="20" t="str">
        <x:f>IF(A62="","",TODAY()-I62)</x:f>
      </x:c>
      <x:c r="W62" s="20" t="str">
        <x:f>IF(A62="","",IF(AND(G62&lt;&gt;"Closed",G62&lt;&gt;"Accepted Risk",J62&lt;TODAY()),"YES","NO"))</x:f>
      </x:c>
    </x:row>
    <x:row r="63">
      <x:c r="A63" s="20"/>
      <x:c r="B63" s="20"/>
      <x:c r="C63" s="20"/>
      <x:c r="D63" s="20"/>
      <x:c r="E63" s="20"/>
      <x:c r="F63" s="20"/>
      <x:c r="G63" s="20"/>
      <x:c r="H63" s="20"/>
      <x:c r="I63" s="23"/>
      <x:c r="J63" s="23"/>
      <x:c r="K63" s="20"/>
      <x:c r="L63" s="20"/>
      <x:c r="M63" s="20"/>
      <x:c r="N63" s="20"/>
      <x:c r="O63" s="20"/>
      <x:c r="P63" s="20"/>
      <x:c r="Q63" s="20"/>
      <x:c r="R63" s="20"/>
      <x:c r="S63" s="23"/>
      <x:c r="T63" s="20"/>
      <x:c r="U63" s="23"/>
      <x:c r="V63" s="20" t="str">
        <x:f>IF(A63="","",TODAY()-I63)</x:f>
      </x:c>
      <x:c r="W63" s="20" t="str">
        <x:f>IF(A63="","",IF(AND(G63&lt;&gt;"Closed",G63&lt;&gt;"Accepted Risk",J63&lt;TODAY()),"YES","NO"))</x:f>
      </x:c>
    </x:row>
    <x:row r="64">
      <x:c r="A64" s="20"/>
      <x:c r="B64" s="20"/>
      <x:c r="C64" s="20"/>
      <x:c r="D64" s="20"/>
      <x:c r="E64" s="20"/>
      <x:c r="F64" s="20"/>
      <x:c r="G64" s="20"/>
      <x:c r="H64" s="20"/>
      <x:c r="I64" s="23"/>
      <x:c r="J64" s="23"/>
      <x:c r="K64" s="20"/>
      <x:c r="L64" s="20"/>
      <x:c r="M64" s="20"/>
      <x:c r="N64" s="20"/>
      <x:c r="O64" s="20"/>
      <x:c r="P64" s="20"/>
      <x:c r="Q64" s="20"/>
      <x:c r="R64" s="20"/>
      <x:c r="S64" s="23"/>
      <x:c r="T64" s="20"/>
      <x:c r="U64" s="23"/>
      <x:c r="V64" s="20" t="str">
        <x:f>IF(A64="","",TODAY()-I64)</x:f>
      </x:c>
      <x:c r="W64" s="20" t="str">
        <x:f>IF(A64="","",IF(AND(G64&lt;&gt;"Closed",G64&lt;&gt;"Accepted Risk",J64&lt;TODAY()),"YES","NO"))</x:f>
      </x:c>
    </x:row>
    <x:row r="65">
      <x:c r="A65" s="20"/>
      <x:c r="B65" s="20"/>
      <x:c r="C65" s="20"/>
      <x:c r="D65" s="20"/>
      <x:c r="E65" s="20"/>
      <x:c r="F65" s="20"/>
      <x:c r="G65" s="20"/>
      <x:c r="H65" s="20"/>
      <x:c r="I65" s="23"/>
      <x:c r="J65" s="23"/>
      <x:c r="K65" s="20"/>
      <x:c r="L65" s="20"/>
      <x:c r="M65" s="20"/>
      <x:c r="N65" s="20"/>
      <x:c r="O65" s="20"/>
      <x:c r="P65" s="20"/>
      <x:c r="Q65" s="20"/>
      <x:c r="R65" s="20"/>
      <x:c r="S65" s="23"/>
      <x:c r="T65" s="20"/>
      <x:c r="U65" s="23"/>
      <x:c r="V65" s="20" t="str">
        <x:f>IF(A65="","",TODAY()-I65)</x:f>
      </x:c>
      <x:c r="W65" s="20" t="str">
        <x:f>IF(A65="","",IF(AND(G65&lt;&gt;"Closed",G65&lt;&gt;"Accepted Risk",J65&lt;TODAY()),"YES","NO"))</x:f>
      </x:c>
    </x:row>
    <x:row r="66">
      <x:c r="A66" s="20"/>
      <x:c r="B66" s="20"/>
      <x:c r="C66" s="20"/>
      <x:c r="D66" s="20"/>
      <x:c r="E66" s="20"/>
      <x:c r="F66" s="20"/>
      <x:c r="G66" s="20"/>
      <x:c r="H66" s="20"/>
      <x:c r="I66" s="23"/>
      <x:c r="J66" s="23"/>
      <x:c r="K66" s="20"/>
      <x:c r="L66" s="20"/>
      <x:c r="M66" s="20"/>
      <x:c r="N66" s="20"/>
      <x:c r="O66" s="20"/>
      <x:c r="P66" s="20"/>
      <x:c r="Q66" s="20"/>
      <x:c r="R66" s="20"/>
      <x:c r="S66" s="23"/>
      <x:c r="T66" s="20"/>
      <x:c r="U66" s="23"/>
      <x:c r="V66" s="20" t="str">
        <x:f>IF(A66="","",TODAY()-I66)</x:f>
      </x:c>
      <x:c r="W66" s="20" t="str">
        <x:f>IF(A66="","",IF(AND(G66&lt;&gt;"Closed",G66&lt;&gt;"Accepted Risk",J66&lt;TODAY()),"YES","NO"))</x:f>
      </x:c>
    </x:row>
    <x:row r="67">
      <x:c r="A67" s="20"/>
      <x:c r="B67" s="20"/>
      <x:c r="C67" s="20"/>
      <x:c r="D67" s="20"/>
      <x:c r="E67" s="20"/>
      <x:c r="F67" s="20"/>
      <x:c r="G67" s="20"/>
      <x:c r="H67" s="20"/>
      <x:c r="I67" s="23"/>
      <x:c r="J67" s="23"/>
      <x:c r="K67" s="20"/>
      <x:c r="L67" s="20"/>
      <x:c r="M67" s="20"/>
      <x:c r="N67" s="20"/>
      <x:c r="O67" s="20"/>
      <x:c r="P67" s="20"/>
      <x:c r="Q67" s="20"/>
      <x:c r="R67" s="20"/>
      <x:c r="S67" s="23"/>
      <x:c r="T67" s="20"/>
      <x:c r="U67" s="23"/>
      <x:c r="V67" s="20" t="str">
        <x:f>IF(A67="","",TODAY()-I67)</x:f>
      </x:c>
      <x:c r="W67" s="20" t="str">
        <x:f>IF(A67="","",IF(AND(G67&lt;&gt;"Closed",G67&lt;&gt;"Accepted Risk",J67&lt;TODAY()),"YES","NO"))</x:f>
      </x:c>
    </x:row>
    <x:row r="68">
      <x:c r="A68" s="20"/>
      <x:c r="B68" s="20"/>
      <x:c r="C68" s="20"/>
      <x:c r="D68" s="20"/>
      <x:c r="E68" s="20"/>
      <x:c r="F68" s="20"/>
      <x:c r="G68" s="20"/>
      <x:c r="H68" s="20"/>
      <x:c r="I68" s="23"/>
      <x:c r="J68" s="23"/>
      <x:c r="K68" s="20"/>
      <x:c r="L68" s="20"/>
      <x:c r="M68" s="20"/>
      <x:c r="N68" s="20"/>
      <x:c r="O68" s="20"/>
      <x:c r="P68" s="20"/>
      <x:c r="Q68" s="20"/>
      <x:c r="R68" s="20"/>
      <x:c r="S68" s="23"/>
      <x:c r="T68" s="20"/>
      <x:c r="U68" s="23"/>
      <x:c r="V68" s="20" t="str">
        <x:f>IF(A68="","",TODAY()-I68)</x:f>
      </x:c>
      <x:c r="W68" s="20" t="str">
        <x:f>IF(A68="","",IF(AND(G68&lt;&gt;"Closed",G68&lt;&gt;"Accepted Risk",J68&lt;TODAY()),"YES","NO"))</x:f>
      </x:c>
    </x:row>
    <x:row r="69">
      <x:c r="A69" s="20"/>
      <x:c r="B69" s="20"/>
      <x:c r="C69" s="20"/>
      <x:c r="D69" s="20"/>
      <x:c r="E69" s="20"/>
      <x:c r="F69" s="20"/>
      <x:c r="G69" s="20"/>
      <x:c r="H69" s="20"/>
      <x:c r="I69" s="23"/>
      <x:c r="J69" s="23"/>
      <x:c r="K69" s="20"/>
      <x:c r="L69" s="20"/>
      <x:c r="M69" s="20"/>
      <x:c r="N69" s="20"/>
      <x:c r="O69" s="20"/>
      <x:c r="P69" s="20"/>
      <x:c r="Q69" s="20"/>
      <x:c r="R69" s="20"/>
      <x:c r="S69" s="23"/>
      <x:c r="T69" s="20"/>
      <x:c r="U69" s="23"/>
      <x:c r="V69" s="20" t="str">
        <x:f>IF(A69="","",TODAY()-I69)</x:f>
      </x:c>
      <x:c r="W69" s="20" t="str">
        <x:f>IF(A69="","",IF(AND(G69&lt;&gt;"Closed",G69&lt;&gt;"Accepted Risk",J69&lt;TODAY()),"YES","NO"))</x:f>
      </x:c>
    </x:row>
    <x:row r="70">
      <x:c r="A70" s="20"/>
      <x:c r="B70" s="20"/>
      <x:c r="C70" s="20"/>
      <x:c r="D70" s="20"/>
      <x:c r="E70" s="20"/>
      <x:c r="F70" s="20"/>
      <x:c r="G70" s="20"/>
      <x:c r="H70" s="20"/>
      <x:c r="I70" s="23"/>
      <x:c r="J70" s="23"/>
      <x:c r="K70" s="20"/>
      <x:c r="L70" s="20"/>
      <x:c r="M70" s="20"/>
      <x:c r="N70" s="20"/>
      <x:c r="O70" s="20"/>
      <x:c r="P70" s="20"/>
      <x:c r="Q70" s="20"/>
      <x:c r="R70" s="20"/>
      <x:c r="S70" s="23"/>
      <x:c r="T70" s="20"/>
      <x:c r="U70" s="23"/>
      <x:c r="V70" s="20" t="str">
        <x:f>IF(A70="","",TODAY()-I70)</x:f>
      </x:c>
      <x:c r="W70" s="20" t="str">
        <x:f>IF(A70="","",IF(AND(G70&lt;&gt;"Closed",G70&lt;&gt;"Accepted Risk",J70&lt;TODAY()),"YES","NO"))</x:f>
      </x:c>
    </x:row>
    <x:row r="71">
      <x:c r="A71" s="20"/>
      <x:c r="B71" s="20"/>
      <x:c r="C71" s="20"/>
      <x:c r="D71" s="20"/>
      <x:c r="E71" s="20"/>
      <x:c r="F71" s="20"/>
      <x:c r="G71" s="20"/>
      <x:c r="H71" s="20"/>
      <x:c r="I71" s="23"/>
      <x:c r="J71" s="23"/>
      <x:c r="K71" s="20"/>
      <x:c r="L71" s="20"/>
      <x:c r="M71" s="20"/>
      <x:c r="N71" s="20"/>
      <x:c r="O71" s="20"/>
      <x:c r="P71" s="20"/>
      <x:c r="Q71" s="20"/>
      <x:c r="R71" s="20"/>
      <x:c r="S71" s="23"/>
      <x:c r="T71" s="20"/>
      <x:c r="U71" s="23"/>
      <x:c r="V71" s="20" t="str">
        <x:f>IF(A71="","",TODAY()-I71)</x:f>
      </x:c>
      <x:c r="W71" s="20" t="str">
        <x:f>IF(A71="","",IF(AND(G71&lt;&gt;"Closed",G71&lt;&gt;"Accepted Risk",J71&lt;TODAY()),"YES","NO"))</x:f>
      </x:c>
    </x:row>
    <x:row r="72">
      <x:c r="A72" s="20"/>
      <x:c r="B72" s="20"/>
      <x:c r="C72" s="20"/>
      <x:c r="D72" s="20"/>
      <x:c r="E72" s="20"/>
      <x:c r="F72" s="20"/>
      <x:c r="G72" s="20"/>
      <x:c r="H72" s="20"/>
      <x:c r="I72" s="23"/>
      <x:c r="J72" s="23"/>
      <x:c r="K72" s="20"/>
      <x:c r="L72" s="20"/>
      <x:c r="M72" s="20"/>
      <x:c r="N72" s="20"/>
      <x:c r="O72" s="20"/>
      <x:c r="P72" s="20"/>
      <x:c r="Q72" s="20"/>
      <x:c r="R72" s="20"/>
      <x:c r="S72" s="23"/>
      <x:c r="T72" s="20"/>
      <x:c r="U72" s="23"/>
      <x:c r="V72" s="20" t="str">
        <x:f>IF(A72="","",TODAY()-I72)</x:f>
      </x:c>
      <x:c r="W72" s="20" t="str">
        <x:f>IF(A72="","",IF(AND(G72&lt;&gt;"Closed",G72&lt;&gt;"Accepted Risk",J72&lt;TODAY()),"YES","NO"))</x:f>
      </x:c>
    </x:row>
    <x:row r="73">
      <x:c r="A73" s="20"/>
      <x:c r="B73" s="20"/>
      <x:c r="C73" s="20"/>
      <x:c r="D73" s="20"/>
      <x:c r="E73" s="20"/>
      <x:c r="F73" s="20"/>
      <x:c r="G73" s="20"/>
      <x:c r="H73" s="20"/>
      <x:c r="I73" s="23"/>
      <x:c r="J73" s="23"/>
      <x:c r="K73" s="20"/>
      <x:c r="L73" s="20"/>
      <x:c r="M73" s="20"/>
      <x:c r="N73" s="20"/>
      <x:c r="O73" s="20"/>
      <x:c r="P73" s="20"/>
      <x:c r="Q73" s="20"/>
      <x:c r="R73" s="20"/>
      <x:c r="S73" s="23"/>
      <x:c r="T73" s="20"/>
      <x:c r="U73" s="23"/>
      <x:c r="V73" s="20" t="str">
        <x:f>IF(A73="","",TODAY()-I73)</x:f>
      </x:c>
      <x:c r="W73" s="20" t="str">
        <x:f>IF(A73="","",IF(AND(G73&lt;&gt;"Closed",G73&lt;&gt;"Accepted Risk",J73&lt;TODAY()),"YES","NO"))</x:f>
      </x:c>
    </x:row>
    <x:row r="74">
      <x:c r="A74" s="20"/>
      <x:c r="B74" s="20"/>
      <x:c r="C74" s="20"/>
      <x:c r="D74" s="20"/>
      <x:c r="E74" s="20"/>
      <x:c r="F74" s="20"/>
      <x:c r="G74" s="20"/>
      <x:c r="H74" s="20"/>
      <x:c r="I74" s="23"/>
      <x:c r="J74" s="23"/>
      <x:c r="K74" s="20"/>
      <x:c r="L74" s="20"/>
      <x:c r="M74" s="20"/>
      <x:c r="N74" s="20"/>
      <x:c r="O74" s="20"/>
      <x:c r="P74" s="20"/>
      <x:c r="Q74" s="20"/>
      <x:c r="R74" s="20"/>
      <x:c r="S74" s="23"/>
      <x:c r="T74" s="20"/>
      <x:c r="U74" s="23"/>
      <x:c r="V74" s="20" t="str">
        <x:f>IF(A74="","",TODAY()-I74)</x:f>
      </x:c>
      <x:c r="W74" s="20" t="str">
        <x:f>IF(A74="","",IF(AND(G74&lt;&gt;"Closed",G74&lt;&gt;"Accepted Risk",J74&lt;TODAY()),"YES","NO"))</x:f>
      </x:c>
    </x:row>
    <x:row r="75">
      <x:c r="A75" s="20"/>
      <x:c r="B75" s="20"/>
      <x:c r="C75" s="20"/>
      <x:c r="D75" s="20"/>
      <x:c r="E75" s="20"/>
      <x:c r="F75" s="20"/>
      <x:c r="G75" s="20"/>
      <x:c r="H75" s="20"/>
      <x:c r="I75" s="23"/>
      <x:c r="J75" s="23"/>
      <x:c r="K75" s="20"/>
      <x:c r="L75" s="20"/>
      <x:c r="M75" s="20"/>
      <x:c r="N75" s="20"/>
      <x:c r="O75" s="20"/>
      <x:c r="P75" s="20"/>
      <x:c r="Q75" s="20"/>
      <x:c r="R75" s="20"/>
      <x:c r="S75" s="23"/>
      <x:c r="T75" s="20"/>
      <x:c r="U75" s="23"/>
      <x:c r="V75" s="20" t="str">
        <x:f>IF(A75="","",TODAY()-I75)</x:f>
      </x:c>
      <x:c r="W75" s="20" t="str">
        <x:f>IF(A75="","",IF(AND(G75&lt;&gt;"Closed",G75&lt;&gt;"Accepted Risk",J75&lt;TODAY()),"YES","NO"))</x:f>
      </x:c>
    </x:row>
    <x:row r="76">
      <x:c r="A76" s="20"/>
      <x:c r="B76" s="20"/>
      <x:c r="C76" s="20"/>
      <x:c r="D76" s="20"/>
      <x:c r="E76" s="20"/>
      <x:c r="F76" s="20"/>
      <x:c r="G76" s="20"/>
      <x:c r="H76" s="20"/>
      <x:c r="I76" s="23"/>
      <x:c r="J76" s="23"/>
      <x:c r="K76" s="20"/>
      <x:c r="L76" s="20"/>
      <x:c r="M76" s="20"/>
      <x:c r="N76" s="20"/>
      <x:c r="O76" s="20"/>
      <x:c r="P76" s="20"/>
      <x:c r="Q76" s="20"/>
      <x:c r="R76" s="20"/>
      <x:c r="S76" s="23"/>
      <x:c r="T76" s="20"/>
      <x:c r="U76" s="23"/>
      <x:c r="V76" s="20" t="str">
        <x:f>IF(A76="","",TODAY()-I76)</x:f>
      </x:c>
      <x:c r="W76" s="20" t="str">
        <x:f>IF(A76="","",IF(AND(G76&lt;&gt;"Closed",G76&lt;&gt;"Accepted Risk",J76&lt;TODAY()),"YES","NO"))</x:f>
      </x:c>
    </x:row>
    <x:row r="77">
      <x:c r="A77" s="20"/>
      <x:c r="B77" s="20"/>
      <x:c r="C77" s="20"/>
      <x:c r="D77" s="20"/>
      <x:c r="E77" s="20"/>
      <x:c r="F77" s="20"/>
      <x:c r="G77" s="20"/>
      <x:c r="H77" s="20"/>
      <x:c r="I77" s="23"/>
      <x:c r="J77" s="23"/>
      <x:c r="K77" s="20"/>
      <x:c r="L77" s="20"/>
      <x:c r="M77" s="20"/>
      <x:c r="N77" s="20"/>
      <x:c r="O77" s="20"/>
      <x:c r="P77" s="20"/>
      <x:c r="Q77" s="20"/>
      <x:c r="R77" s="20"/>
      <x:c r="S77" s="23"/>
      <x:c r="T77" s="20"/>
      <x:c r="U77" s="23"/>
      <x:c r="V77" s="20" t="str">
        <x:f>IF(A77="","",TODAY()-I77)</x:f>
      </x:c>
      <x:c r="W77" s="20" t="str">
        <x:f>IF(A77="","",IF(AND(G77&lt;&gt;"Closed",G77&lt;&gt;"Accepted Risk",J77&lt;TODAY()),"YES","NO"))</x:f>
      </x:c>
    </x:row>
    <x:row r="78">
      <x:c r="A78" s="20"/>
      <x:c r="B78" s="20"/>
      <x:c r="C78" s="20"/>
      <x:c r="D78" s="20"/>
      <x:c r="E78" s="20"/>
      <x:c r="F78" s="20"/>
      <x:c r="G78" s="20"/>
      <x:c r="H78" s="20"/>
      <x:c r="I78" s="23"/>
      <x:c r="J78" s="23"/>
      <x:c r="K78" s="20"/>
      <x:c r="L78" s="20"/>
      <x:c r="M78" s="20"/>
      <x:c r="N78" s="20"/>
      <x:c r="O78" s="20"/>
      <x:c r="P78" s="20"/>
      <x:c r="Q78" s="20"/>
      <x:c r="R78" s="20"/>
      <x:c r="S78" s="23"/>
      <x:c r="T78" s="20"/>
      <x:c r="U78" s="23"/>
      <x:c r="V78" s="20" t="str">
        <x:f>IF(A78="","",TODAY()-I78)</x:f>
      </x:c>
      <x:c r="W78" s="20" t="str">
        <x:f>IF(A78="","",IF(AND(G78&lt;&gt;"Closed",G78&lt;&gt;"Accepted Risk",J78&lt;TODAY()),"YES","NO"))</x:f>
      </x:c>
    </x:row>
    <x:row r="79">
      <x:c r="A79" s="20"/>
      <x:c r="B79" s="20"/>
      <x:c r="C79" s="20"/>
      <x:c r="D79" s="20"/>
      <x:c r="E79" s="20"/>
      <x:c r="F79" s="20"/>
      <x:c r="G79" s="20"/>
      <x:c r="H79" s="20"/>
      <x:c r="I79" s="23"/>
      <x:c r="J79" s="23"/>
      <x:c r="K79" s="20"/>
      <x:c r="L79" s="20"/>
      <x:c r="M79" s="20"/>
      <x:c r="N79" s="20"/>
      <x:c r="O79" s="20"/>
      <x:c r="P79" s="20"/>
      <x:c r="Q79" s="20"/>
      <x:c r="R79" s="20"/>
      <x:c r="S79" s="23"/>
      <x:c r="T79" s="20"/>
      <x:c r="U79" s="23"/>
      <x:c r="V79" s="20" t="str">
        <x:f>IF(A79="","",TODAY()-I79)</x:f>
      </x:c>
      <x:c r="W79" s="20" t="str">
        <x:f>IF(A79="","",IF(AND(G79&lt;&gt;"Closed",G79&lt;&gt;"Accepted Risk",J79&lt;TODAY()),"YES","NO"))</x:f>
      </x:c>
    </x:row>
    <x:row r="80">
      <x:c r="A80" s="20"/>
      <x:c r="B80" s="20"/>
      <x:c r="C80" s="20"/>
      <x:c r="D80" s="20"/>
      <x:c r="E80" s="20"/>
      <x:c r="F80" s="20"/>
      <x:c r="G80" s="20"/>
      <x:c r="H80" s="20"/>
      <x:c r="I80" s="23"/>
      <x:c r="J80" s="23"/>
      <x:c r="K80" s="20"/>
      <x:c r="L80" s="20"/>
      <x:c r="M80" s="20"/>
      <x:c r="N80" s="20"/>
      <x:c r="O80" s="20"/>
      <x:c r="P80" s="20"/>
      <x:c r="Q80" s="20"/>
      <x:c r="R80" s="20"/>
      <x:c r="S80" s="23"/>
      <x:c r="T80" s="20"/>
      <x:c r="U80" s="23"/>
      <x:c r="V80" s="20" t="str">
        <x:f>IF(A80="","",TODAY()-I80)</x:f>
      </x:c>
      <x:c r="W80" s="20" t="str">
        <x:f>IF(A80="","",IF(AND(G80&lt;&gt;"Closed",G80&lt;&gt;"Accepted Risk",J80&lt;TODAY()),"YES","NO"))</x:f>
      </x:c>
    </x:row>
    <x:row r="81">
      <x:c r="A81" s="20"/>
      <x:c r="B81" s="20"/>
      <x:c r="C81" s="20"/>
      <x:c r="D81" s="20"/>
      <x:c r="E81" s="20"/>
      <x:c r="F81" s="20"/>
      <x:c r="G81" s="20"/>
      <x:c r="H81" s="20"/>
      <x:c r="I81" s="23"/>
      <x:c r="J81" s="23"/>
      <x:c r="K81" s="20"/>
      <x:c r="L81" s="20"/>
      <x:c r="M81" s="20"/>
      <x:c r="N81" s="20"/>
      <x:c r="O81" s="20"/>
      <x:c r="P81" s="20"/>
      <x:c r="Q81" s="20"/>
      <x:c r="R81" s="20"/>
      <x:c r="S81" s="23"/>
      <x:c r="T81" s="20"/>
      <x:c r="U81" s="23"/>
      <x:c r="V81" s="20" t="str">
        <x:f>IF(A81="","",TODAY()-I81)</x:f>
      </x:c>
      <x:c r="W81" s="20" t="str">
        <x:f>IF(A81="","",IF(AND(G81&lt;&gt;"Closed",G81&lt;&gt;"Accepted Risk",J81&lt;TODAY()),"YES","NO"))</x:f>
      </x:c>
    </x:row>
    <x:row r="82">
      <x:c r="A82" s="20"/>
      <x:c r="B82" s="20"/>
      <x:c r="C82" s="20"/>
      <x:c r="D82" s="20"/>
      <x:c r="E82" s="20"/>
      <x:c r="F82" s="20"/>
      <x:c r="G82" s="20"/>
      <x:c r="H82" s="20"/>
      <x:c r="I82" s="23"/>
      <x:c r="J82" s="23"/>
      <x:c r="K82" s="20"/>
      <x:c r="L82" s="20"/>
      <x:c r="M82" s="20"/>
      <x:c r="N82" s="20"/>
      <x:c r="O82" s="20"/>
      <x:c r="P82" s="20"/>
      <x:c r="Q82" s="20"/>
      <x:c r="R82" s="20"/>
      <x:c r="S82" s="23"/>
      <x:c r="T82" s="20"/>
      <x:c r="U82" s="23"/>
      <x:c r="V82" s="20" t="str">
        <x:f>IF(A82="","",TODAY()-I82)</x:f>
      </x:c>
      <x:c r="W82" s="20" t="str">
        <x:f>IF(A82="","",IF(AND(G82&lt;&gt;"Closed",G82&lt;&gt;"Accepted Risk",J82&lt;TODAY()),"YES","NO"))</x:f>
      </x:c>
    </x:row>
    <x:row r="83">
      <x:c r="A83" s="20"/>
      <x:c r="B83" s="20"/>
      <x:c r="C83" s="20"/>
      <x:c r="D83" s="20"/>
      <x:c r="E83" s="20"/>
      <x:c r="F83" s="20"/>
      <x:c r="G83" s="20"/>
      <x:c r="H83" s="20"/>
      <x:c r="I83" s="23"/>
      <x:c r="J83" s="23"/>
      <x:c r="K83" s="20"/>
      <x:c r="L83" s="20"/>
      <x:c r="M83" s="20"/>
      <x:c r="N83" s="20"/>
      <x:c r="O83" s="20"/>
      <x:c r="P83" s="20"/>
      <x:c r="Q83" s="20"/>
      <x:c r="R83" s="20"/>
      <x:c r="S83" s="23"/>
      <x:c r="T83" s="20"/>
      <x:c r="U83" s="23"/>
      <x:c r="V83" s="20" t="str">
        <x:f>IF(A83="","",TODAY()-I83)</x:f>
      </x:c>
      <x:c r="W83" s="20" t="str">
        <x:f>IF(A83="","",IF(AND(G83&lt;&gt;"Closed",G83&lt;&gt;"Accepted Risk",J83&lt;TODAY()),"YES","NO"))</x:f>
      </x:c>
    </x:row>
    <x:row r="84">
      <x:c r="A84" s="20"/>
      <x:c r="B84" s="20"/>
      <x:c r="C84" s="20"/>
      <x:c r="D84" s="20"/>
      <x:c r="E84" s="20"/>
      <x:c r="F84" s="20"/>
      <x:c r="G84" s="20"/>
      <x:c r="H84" s="20"/>
      <x:c r="I84" s="23"/>
      <x:c r="J84" s="23"/>
      <x:c r="K84" s="20"/>
      <x:c r="L84" s="20"/>
      <x:c r="M84" s="20"/>
      <x:c r="N84" s="20"/>
      <x:c r="O84" s="20"/>
      <x:c r="P84" s="20"/>
      <x:c r="Q84" s="20"/>
      <x:c r="R84" s="20"/>
      <x:c r="S84" s="23"/>
      <x:c r="T84" s="20"/>
      <x:c r="U84" s="23"/>
      <x:c r="V84" s="20" t="str">
        <x:f>IF(A84="","",TODAY()-I84)</x:f>
      </x:c>
      <x:c r="W84" s="20" t="str">
        <x:f>IF(A84="","",IF(AND(G84&lt;&gt;"Closed",G84&lt;&gt;"Accepted Risk",J84&lt;TODAY()),"YES","NO"))</x:f>
      </x:c>
    </x:row>
    <x:row r="85">
      <x:c r="A85" s="20"/>
      <x:c r="B85" s="20"/>
      <x:c r="C85" s="20"/>
      <x:c r="D85" s="20"/>
      <x:c r="E85" s="20"/>
      <x:c r="F85" s="20"/>
      <x:c r="G85" s="20"/>
      <x:c r="H85" s="20"/>
      <x:c r="I85" s="23"/>
      <x:c r="J85" s="23"/>
      <x:c r="K85" s="20"/>
      <x:c r="L85" s="20"/>
      <x:c r="M85" s="20"/>
      <x:c r="N85" s="20"/>
      <x:c r="O85" s="20"/>
      <x:c r="P85" s="20"/>
      <x:c r="Q85" s="20"/>
      <x:c r="R85" s="20"/>
      <x:c r="S85" s="23"/>
      <x:c r="T85" s="20"/>
      <x:c r="U85" s="23"/>
      <x:c r="V85" s="20" t="str">
        <x:f>IF(A85="","",TODAY()-I85)</x:f>
      </x:c>
      <x:c r="W85" s="20" t="str">
        <x:f>IF(A85="","",IF(AND(G85&lt;&gt;"Closed",G85&lt;&gt;"Accepted Risk",J85&lt;TODAY()),"YES","NO"))</x:f>
      </x:c>
    </x:row>
    <x:row r="86">
      <x:c r="A86" s="20"/>
      <x:c r="B86" s="20"/>
      <x:c r="C86" s="20"/>
      <x:c r="D86" s="20"/>
      <x:c r="E86" s="20"/>
      <x:c r="F86" s="20"/>
      <x:c r="G86" s="20"/>
      <x:c r="H86" s="20"/>
      <x:c r="I86" s="23"/>
      <x:c r="J86" s="23"/>
      <x:c r="K86" s="20"/>
      <x:c r="L86" s="20"/>
      <x:c r="M86" s="20"/>
      <x:c r="N86" s="20"/>
      <x:c r="O86" s="20"/>
      <x:c r="P86" s="20"/>
      <x:c r="Q86" s="20"/>
      <x:c r="R86" s="20"/>
      <x:c r="S86" s="23"/>
      <x:c r="T86" s="20"/>
      <x:c r="U86" s="23"/>
      <x:c r="V86" s="20" t="str">
        <x:f>IF(A86="","",TODAY()-I86)</x:f>
      </x:c>
      <x:c r="W86" s="20" t="str">
        <x:f>IF(A86="","",IF(AND(G86&lt;&gt;"Closed",G86&lt;&gt;"Accepted Risk",J86&lt;TODAY()),"YES","NO"))</x:f>
      </x:c>
    </x:row>
    <x:row r="87">
      <x:c r="A87" s="20"/>
      <x:c r="B87" s="20"/>
      <x:c r="C87" s="20"/>
      <x:c r="D87" s="20"/>
      <x:c r="E87" s="20"/>
      <x:c r="F87" s="20"/>
      <x:c r="G87" s="20"/>
      <x:c r="H87" s="20"/>
      <x:c r="I87" s="23"/>
      <x:c r="J87" s="23"/>
      <x:c r="K87" s="20"/>
      <x:c r="L87" s="20"/>
      <x:c r="M87" s="20"/>
      <x:c r="N87" s="20"/>
      <x:c r="O87" s="20"/>
      <x:c r="P87" s="20"/>
      <x:c r="Q87" s="20"/>
      <x:c r="R87" s="20"/>
      <x:c r="S87" s="23"/>
      <x:c r="T87" s="20"/>
      <x:c r="U87" s="23"/>
      <x:c r="V87" s="20" t="str">
        <x:f>IF(A87="","",TODAY()-I87)</x:f>
      </x:c>
      <x:c r="W87" s="20" t="str">
        <x:f>IF(A87="","",IF(AND(G87&lt;&gt;"Closed",G87&lt;&gt;"Accepted Risk",J87&lt;TODAY()),"YES","NO"))</x:f>
      </x:c>
    </x:row>
    <x:row r="88">
      <x:c r="A88" s="20"/>
      <x:c r="B88" s="20"/>
      <x:c r="C88" s="20"/>
      <x:c r="D88" s="20"/>
      <x:c r="E88" s="20"/>
      <x:c r="F88" s="20"/>
      <x:c r="G88" s="20"/>
      <x:c r="H88" s="20"/>
      <x:c r="I88" s="23"/>
      <x:c r="J88" s="23"/>
      <x:c r="K88" s="20"/>
      <x:c r="L88" s="20"/>
      <x:c r="M88" s="20"/>
      <x:c r="N88" s="20"/>
      <x:c r="O88" s="20"/>
      <x:c r="P88" s="20"/>
      <x:c r="Q88" s="20"/>
      <x:c r="R88" s="20"/>
      <x:c r="S88" s="23"/>
      <x:c r="T88" s="20"/>
      <x:c r="U88" s="23"/>
      <x:c r="V88" s="20" t="str">
        <x:f>IF(A88="","",TODAY()-I88)</x:f>
      </x:c>
      <x:c r="W88" s="20" t="str">
        <x:f>IF(A88="","",IF(AND(G88&lt;&gt;"Closed",G88&lt;&gt;"Accepted Risk",J88&lt;TODAY()),"YES","NO"))</x:f>
      </x:c>
    </x:row>
    <x:row r="89">
      <x:c r="A89" s="20"/>
      <x:c r="B89" s="20"/>
      <x:c r="C89" s="20"/>
      <x:c r="D89" s="20"/>
      <x:c r="E89" s="20"/>
      <x:c r="F89" s="20"/>
      <x:c r="G89" s="20"/>
      <x:c r="H89" s="20"/>
      <x:c r="I89" s="23"/>
      <x:c r="J89" s="23"/>
      <x:c r="K89" s="20"/>
      <x:c r="L89" s="20"/>
      <x:c r="M89" s="20"/>
      <x:c r="N89" s="20"/>
      <x:c r="O89" s="20"/>
      <x:c r="P89" s="20"/>
      <x:c r="Q89" s="20"/>
      <x:c r="R89" s="20"/>
      <x:c r="S89" s="23"/>
      <x:c r="T89" s="20"/>
      <x:c r="U89" s="23"/>
      <x:c r="V89" s="20" t="str">
        <x:f>IF(A89="","",TODAY()-I89)</x:f>
      </x:c>
      <x:c r="W89" s="20" t="str">
        <x:f>IF(A89="","",IF(AND(G89&lt;&gt;"Closed",G89&lt;&gt;"Accepted Risk",J89&lt;TODAY()),"YES","NO"))</x:f>
      </x:c>
    </x:row>
    <x:row r="90">
      <x:c r="A90" s="20"/>
      <x:c r="B90" s="20"/>
      <x:c r="C90" s="20"/>
      <x:c r="D90" s="20"/>
      <x:c r="E90" s="20"/>
      <x:c r="F90" s="20"/>
      <x:c r="G90" s="20"/>
      <x:c r="H90" s="20"/>
      <x:c r="I90" s="23"/>
      <x:c r="J90" s="23"/>
      <x:c r="K90" s="20"/>
      <x:c r="L90" s="20"/>
      <x:c r="M90" s="20"/>
      <x:c r="N90" s="20"/>
      <x:c r="O90" s="20"/>
      <x:c r="P90" s="20"/>
      <x:c r="Q90" s="20"/>
      <x:c r="R90" s="20"/>
      <x:c r="S90" s="23"/>
      <x:c r="T90" s="20"/>
      <x:c r="U90" s="23"/>
      <x:c r="V90" s="20" t="str">
        <x:f>IF(A90="","",TODAY()-I90)</x:f>
      </x:c>
      <x:c r="W90" s="20" t="str">
        <x:f>IF(A90="","",IF(AND(G90&lt;&gt;"Closed",G90&lt;&gt;"Accepted Risk",J90&lt;TODAY()),"YES","NO"))</x:f>
      </x:c>
    </x:row>
    <x:row r="91">
      <x:c r="A91" s="20"/>
      <x:c r="B91" s="20"/>
      <x:c r="C91" s="20"/>
      <x:c r="D91" s="20"/>
      <x:c r="E91" s="20"/>
      <x:c r="F91" s="20"/>
      <x:c r="G91" s="20"/>
      <x:c r="H91" s="20"/>
      <x:c r="I91" s="23"/>
      <x:c r="J91" s="23"/>
      <x:c r="K91" s="20"/>
      <x:c r="L91" s="20"/>
      <x:c r="M91" s="20"/>
      <x:c r="N91" s="20"/>
      <x:c r="O91" s="20"/>
      <x:c r="P91" s="20"/>
      <x:c r="Q91" s="20"/>
      <x:c r="R91" s="20"/>
      <x:c r="S91" s="23"/>
      <x:c r="T91" s="20"/>
      <x:c r="U91" s="23"/>
      <x:c r="V91" s="20" t="str">
        <x:f>IF(A91="","",TODAY()-I91)</x:f>
      </x:c>
      <x:c r="W91" s="20" t="str">
        <x:f>IF(A91="","",IF(AND(G91&lt;&gt;"Closed",G91&lt;&gt;"Accepted Risk",J91&lt;TODAY()),"YES","NO"))</x:f>
      </x:c>
    </x:row>
    <x:row r="92">
      <x:c r="A92" s="20"/>
      <x:c r="B92" s="20"/>
      <x:c r="C92" s="20"/>
      <x:c r="D92" s="20"/>
      <x:c r="E92" s="20"/>
      <x:c r="F92" s="20"/>
      <x:c r="G92" s="20"/>
      <x:c r="H92" s="20"/>
      <x:c r="I92" s="23"/>
      <x:c r="J92" s="23"/>
      <x:c r="K92" s="20"/>
      <x:c r="L92" s="20"/>
      <x:c r="M92" s="20"/>
      <x:c r="N92" s="20"/>
      <x:c r="O92" s="20"/>
      <x:c r="P92" s="20"/>
      <x:c r="Q92" s="20"/>
      <x:c r="R92" s="20"/>
      <x:c r="S92" s="23"/>
      <x:c r="T92" s="20"/>
      <x:c r="U92" s="23"/>
      <x:c r="V92" s="20" t="str">
        <x:f>IF(A92="","",TODAY()-I92)</x:f>
      </x:c>
      <x:c r="W92" s="20" t="str">
        <x:f>IF(A92="","",IF(AND(G92&lt;&gt;"Closed",G92&lt;&gt;"Accepted Risk",J92&lt;TODAY()),"YES","NO"))</x:f>
      </x:c>
    </x:row>
    <x:row r="93">
      <x:c r="A93" s="20"/>
      <x:c r="B93" s="20"/>
      <x:c r="C93" s="20"/>
      <x:c r="D93" s="20"/>
      <x:c r="E93" s="20"/>
      <x:c r="F93" s="20"/>
      <x:c r="G93" s="20"/>
      <x:c r="H93" s="20"/>
      <x:c r="I93" s="23"/>
      <x:c r="J93" s="23"/>
      <x:c r="K93" s="20"/>
      <x:c r="L93" s="20"/>
      <x:c r="M93" s="20"/>
      <x:c r="N93" s="20"/>
      <x:c r="O93" s="20"/>
      <x:c r="P93" s="20"/>
      <x:c r="Q93" s="20"/>
      <x:c r="R93" s="20"/>
      <x:c r="S93" s="23"/>
      <x:c r="T93" s="20"/>
      <x:c r="U93" s="23"/>
      <x:c r="V93" s="20" t="str">
        <x:f>IF(A93="","",TODAY()-I93)</x:f>
      </x:c>
      <x:c r="W93" s="20" t="str">
        <x:f>IF(A93="","",IF(AND(G93&lt;&gt;"Closed",G93&lt;&gt;"Accepted Risk",J93&lt;TODAY()),"YES","NO"))</x:f>
      </x:c>
    </x:row>
    <x:row r="94">
      <x:c r="A94" s="20"/>
      <x:c r="B94" s="20"/>
      <x:c r="C94" s="20"/>
      <x:c r="D94" s="20"/>
      <x:c r="E94" s="20"/>
      <x:c r="F94" s="20"/>
      <x:c r="G94" s="20"/>
      <x:c r="H94" s="20"/>
      <x:c r="I94" s="23"/>
      <x:c r="J94" s="23"/>
      <x:c r="K94" s="20"/>
      <x:c r="L94" s="20"/>
      <x:c r="M94" s="20"/>
      <x:c r="N94" s="20"/>
      <x:c r="O94" s="20"/>
      <x:c r="P94" s="20"/>
      <x:c r="Q94" s="20"/>
      <x:c r="R94" s="20"/>
      <x:c r="S94" s="23"/>
      <x:c r="T94" s="20"/>
      <x:c r="U94" s="23"/>
      <x:c r="V94" s="20" t="str">
        <x:f>IF(A94="","",TODAY()-I94)</x:f>
      </x:c>
      <x:c r="W94" s="20" t="str">
        <x:f>IF(A94="","",IF(AND(G94&lt;&gt;"Closed",G94&lt;&gt;"Accepted Risk",J94&lt;TODAY()),"YES","NO"))</x:f>
      </x:c>
    </x:row>
    <x:row r="95">
      <x:c r="A95" s="20"/>
      <x:c r="B95" s="20"/>
      <x:c r="C95" s="20"/>
      <x:c r="D95" s="20"/>
      <x:c r="E95" s="20"/>
      <x:c r="F95" s="20"/>
      <x:c r="G95" s="20"/>
      <x:c r="H95" s="20"/>
      <x:c r="I95" s="23"/>
      <x:c r="J95" s="23"/>
      <x:c r="K95" s="20"/>
      <x:c r="L95" s="20"/>
      <x:c r="M95" s="20"/>
      <x:c r="N95" s="20"/>
      <x:c r="O95" s="20"/>
      <x:c r="P95" s="20"/>
      <x:c r="Q95" s="20"/>
      <x:c r="R95" s="20"/>
      <x:c r="S95" s="23"/>
      <x:c r="T95" s="20"/>
      <x:c r="U95" s="23"/>
      <x:c r="V95" s="20" t="str">
        <x:f>IF(A95="","",TODAY()-I95)</x:f>
      </x:c>
      <x:c r="W95" s="20" t="str">
        <x:f>IF(A95="","",IF(AND(G95&lt;&gt;"Closed",G95&lt;&gt;"Accepted Risk",J95&lt;TODAY()),"YES","NO"))</x:f>
      </x:c>
    </x:row>
    <x:row r="96">
      <x:c r="A96" s="20"/>
      <x:c r="B96" s="20"/>
      <x:c r="C96" s="20"/>
      <x:c r="D96" s="20"/>
      <x:c r="E96" s="20"/>
      <x:c r="F96" s="20"/>
      <x:c r="G96" s="20"/>
      <x:c r="H96" s="20"/>
      <x:c r="I96" s="23"/>
      <x:c r="J96" s="23"/>
      <x:c r="K96" s="20"/>
      <x:c r="L96" s="20"/>
      <x:c r="M96" s="20"/>
      <x:c r="N96" s="20"/>
      <x:c r="O96" s="20"/>
      <x:c r="P96" s="20"/>
      <x:c r="Q96" s="20"/>
      <x:c r="R96" s="20"/>
      <x:c r="S96" s="23"/>
      <x:c r="T96" s="20"/>
      <x:c r="U96" s="23"/>
      <x:c r="V96" s="20" t="str">
        <x:f>IF(A96="","",TODAY()-I96)</x:f>
      </x:c>
      <x:c r="W96" s="20" t="str">
        <x:f>IF(A96="","",IF(AND(G96&lt;&gt;"Closed",G96&lt;&gt;"Accepted Risk",J96&lt;TODAY()),"YES","NO"))</x:f>
      </x:c>
    </x:row>
    <x:row r="97">
      <x:c r="A97" s="20"/>
      <x:c r="B97" s="20"/>
      <x:c r="C97" s="20"/>
      <x:c r="D97" s="20"/>
      <x:c r="E97" s="20"/>
      <x:c r="F97" s="20"/>
      <x:c r="G97" s="20"/>
      <x:c r="H97" s="20"/>
      <x:c r="I97" s="23"/>
      <x:c r="J97" s="23"/>
      <x:c r="K97" s="20"/>
      <x:c r="L97" s="20"/>
      <x:c r="M97" s="20"/>
      <x:c r="N97" s="20"/>
      <x:c r="O97" s="20"/>
      <x:c r="P97" s="20"/>
      <x:c r="Q97" s="20"/>
      <x:c r="R97" s="20"/>
      <x:c r="S97" s="23"/>
      <x:c r="T97" s="20"/>
      <x:c r="U97" s="23"/>
      <x:c r="V97" s="20" t="str">
        <x:f>IF(A97="","",TODAY()-I97)</x:f>
      </x:c>
      <x:c r="W97" s="20" t="str">
        <x:f>IF(A97="","",IF(AND(G97&lt;&gt;"Closed",G97&lt;&gt;"Accepted Risk",J97&lt;TODAY()),"YES","NO"))</x:f>
      </x:c>
    </x:row>
    <x:row r="98">
      <x:c r="A98" s="20"/>
      <x:c r="B98" s="20"/>
      <x:c r="C98" s="20"/>
      <x:c r="D98" s="20"/>
      <x:c r="E98" s="20"/>
      <x:c r="F98" s="20"/>
      <x:c r="G98" s="20"/>
      <x:c r="H98" s="20"/>
      <x:c r="I98" s="23"/>
      <x:c r="J98" s="23"/>
      <x:c r="K98" s="20"/>
      <x:c r="L98" s="20"/>
      <x:c r="M98" s="20"/>
      <x:c r="N98" s="20"/>
      <x:c r="O98" s="20"/>
      <x:c r="P98" s="20"/>
      <x:c r="Q98" s="20"/>
      <x:c r="R98" s="20"/>
      <x:c r="S98" s="23"/>
      <x:c r="T98" s="20"/>
      <x:c r="U98" s="23"/>
      <x:c r="V98" s="20" t="str">
        <x:f>IF(A98="","",TODAY()-I98)</x:f>
      </x:c>
      <x:c r="W98" s="20" t="str">
        <x:f>IF(A98="","",IF(AND(G98&lt;&gt;"Closed",G98&lt;&gt;"Accepted Risk",J98&lt;TODAY()),"YES","NO"))</x:f>
      </x:c>
    </x:row>
    <x:row r="99">
      <x:c r="A99" s="20"/>
      <x:c r="B99" s="20"/>
      <x:c r="C99" s="20"/>
      <x:c r="D99" s="20"/>
      <x:c r="E99" s="20"/>
      <x:c r="F99" s="20"/>
      <x:c r="G99" s="20"/>
      <x:c r="H99" s="20"/>
      <x:c r="I99" s="23"/>
      <x:c r="J99" s="23"/>
      <x:c r="K99" s="20"/>
      <x:c r="L99" s="20"/>
      <x:c r="M99" s="20"/>
      <x:c r="N99" s="20"/>
      <x:c r="O99" s="20"/>
      <x:c r="P99" s="20"/>
      <x:c r="Q99" s="20"/>
      <x:c r="R99" s="20"/>
      <x:c r="S99" s="23"/>
      <x:c r="T99" s="20"/>
      <x:c r="U99" s="23"/>
      <x:c r="V99" s="20" t="str">
        <x:f>IF(A99="","",TODAY()-I99)</x:f>
      </x:c>
      <x:c r="W99" s="20" t="str">
        <x:f>IF(A99="","",IF(AND(G99&lt;&gt;"Closed",G99&lt;&gt;"Accepted Risk",J99&lt;TODAY()),"YES","NO"))</x:f>
      </x:c>
    </x:row>
    <x:row r="100">
      <x:c r="A100" s="20"/>
      <x:c r="B100" s="20"/>
      <x:c r="C100" s="20"/>
      <x:c r="D100" s="20"/>
      <x:c r="E100" s="20"/>
      <x:c r="F100" s="20"/>
      <x:c r="G100" s="20"/>
      <x:c r="H100" s="20"/>
      <x:c r="I100" s="23"/>
      <x:c r="J100" s="23"/>
      <x:c r="K100" s="20"/>
      <x:c r="L100" s="20"/>
      <x:c r="M100" s="20"/>
      <x:c r="N100" s="20"/>
      <x:c r="O100" s="20"/>
      <x:c r="P100" s="20"/>
      <x:c r="Q100" s="20"/>
      <x:c r="R100" s="20"/>
      <x:c r="S100" s="23"/>
      <x:c r="T100" s="20"/>
      <x:c r="U100" s="23"/>
      <x:c r="V100" s="20" t="str">
        <x:f>IF(A100="","",TODAY()-I100)</x:f>
      </x:c>
      <x:c r="W100" s="20" t="str">
        <x:f>IF(A100="","",IF(AND(G100&lt;&gt;"Closed",G100&lt;&gt;"Accepted Risk",J100&lt;TODAY()),"YES","NO"))</x:f>
      </x:c>
    </x:row>
    <x:row r="101">
      <x:c r="A101" s="20"/>
      <x:c r="B101" s="20"/>
      <x:c r="C101" s="20"/>
      <x:c r="D101" s="20"/>
      <x:c r="E101" s="20"/>
      <x:c r="F101" s="20"/>
      <x:c r="G101" s="20"/>
      <x:c r="H101" s="20"/>
      <x:c r="I101" s="23"/>
      <x:c r="J101" s="23"/>
      <x:c r="K101" s="20"/>
      <x:c r="L101" s="20"/>
      <x:c r="M101" s="20"/>
      <x:c r="N101" s="20"/>
      <x:c r="O101" s="20"/>
      <x:c r="P101" s="20"/>
      <x:c r="Q101" s="20"/>
      <x:c r="R101" s="20"/>
      <x:c r="S101" s="23"/>
      <x:c r="T101" s="20"/>
      <x:c r="U101" s="23"/>
      <x:c r="V101" s="20" t="str">
        <x:f>IF(A101="","",TODAY()-I101)</x:f>
      </x:c>
      <x:c r="W101" s="20" t="str">
        <x:f>IF(A101="","",IF(AND(G101&lt;&gt;"Closed",G101&lt;&gt;"Accepted Risk",J101&lt;TODAY()),"YES","NO"))</x:f>
      </x:c>
    </x:row>
    <x:row r="102">
      <x:c r="A102" s="20"/>
      <x:c r="B102" s="20"/>
      <x:c r="C102" s="20"/>
      <x:c r="D102" s="20"/>
      <x:c r="E102" s="20"/>
      <x:c r="F102" s="20"/>
      <x:c r="G102" s="20"/>
      <x:c r="H102" s="20"/>
      <x:c r="I102" s="23"/>
      <x:c r="J102" s="23"/>
      <x:c r="K102" s="20"/>
      <x:c r="L102" s="20"/>
      <x:c r="M102" s="20"/>
      <x:c r="N102" s="20"/>
      <x:c r="O102" s="20"/>
      <x:c r="P102" s="20"/>
      <x:c r="Q102" s="20"/>
      <x:c r="R102" s="20"/>
      <x:c r="S102" s="23"/>
      <x:c r="T102" s="20"/>
      <x:c r="U102" s="23"/>
      <x:c r="V102" s="20" t="str">
        <x:f>IF(A102="","",TODAY()-I102)</x:f>
      </x:c>
      <x:c r="W102" s="20" t="str">
        <x:f>IF(A102="","",IF(AND(G102&lt;&gt;"Closed",G102&lt;&gt;"Accepted Risk",J102&lt;TODAY()),"YES","NO"))</x:f>
      </x:c>
    </x:row>
    <x:row r="103">
      <x:c r="A103" s="20"/>
      <x:c r="B103" s="20"/>
      <x:c r="C103" s="20"/>
      <x:c r="D103" s="20"/>
      <x:c r="E103" s="20"/>
      <x:c r="F103" s="20"/>
      <x:c r="G103" s="20"/>
      <x:c r="H103" s="20"/>
      <x:c r="I103" s="23"/>
      <x:c r="J103" s="23"/>
      <x:c r="K103" s="20"/>
      <x:c r="L103" s="20"/>
      <x:c r="M103" s="20"/>
      <x:c r="N103" s="20"/>
      <x:c r="O103" s="20"/>
      <x:c r="P103" s="20"/>
      <x:c r="Q103" s="20"/>
      <x:c r="R103" s="20"/>
      <x:c r="S103" s="23"/>
      <x:c r="T103" s="20"/>
      <x:c r="U103" s="23"/>
      <x:c r="V103" s="20" t="str">
        <x:f>IF(A103="","",TODAY()-I103)</x:f>
      </x:c>
      <x:c r="W103" s="20" t="str">
        <x:f>IF(A103="","",IF(AND(G103&lt;&gt;"Closed",G103&lt;&gt;"Accepted Risk",J103&lt;TODAY()),"YES","NO"))</x:f>
      </x:c>
    </x:row>
    <x:row r="104">
      <x:c r="A104" s="20"/>
      <x:c r="B104" s="20"/>
      <x:c r="C104" s="20"/>
      <x:c r="D104" s="20"/>
      <x:c r="E104" s="20"/>
      <x:c r="F104" s="20"/>
      <x:c r="G104" s="20"/>
      <x:c r="H104" s="20"/>
      <x:c r="I104" s="23"/>
      <x:c r="J104" s="23"/>
      <x:c r="K104" s="20"/>
      <x:c r="L104" s="20"/>
      <x:c r="M104" s="20"/>
      <x:c r="N104" s="20"/>
      <x:c r="O104" s="20"/>
      <x:c r="P104" s="20"/>
      <x:c r="Q104" s="20"/>
      <x:c r="R104" s="20"/>
      <x:c r="S104" s="23"/>
      <x:c r="T104" s="20"/>
      <x:c r="U104" s="23"/>
      <x:c r="V104" s="20" t="str">
        <x:f>IF(A104="","",TODAY()-I104)</x:f>
      </x:c>
      <x:c r="W104" s="20" t="str">
        <x:f>IF(A104="","",IF(AND(G104&lt;&gt;"Closed",G104&lt;&gt;"Accepted Risk",J104&lt;TODAY()),"YES","NO"))</x:f>
      </x:c>
    </x:row>
    <x:row r="105">
      <x:c r="A105" s="20"/>
      <x:c r="B105" s="20"/>
      <x:c r="C105" s="20"/>
      <x:c r="D105" s="20"/>
      <x:c r="E105" s="20"/>
      <x:c r="F105" s="20"/>
      <x:c r="G105" s="20"/>
      <x:c r="H105" s="20"/>
      <x:c r="I105" s="23"/>
      <x:c r="J105" s="23"/>
      <x:c r="K105" s="20"/>
      <x:c r="L105" s="20"/>
      <x:c r="M105" s="20"/>
      <x:c r="N105" s="20"/>
      <x:c r="O105" s="20"/>
      <x:c r="P105" s="20"/>
      <x:c r="Q105" s="20"/>
      <x:c r="R105" s="20"/>
      <x:c r="S105" s="23"/>
      <x:c r="T105" s="20"/>
      <x:c r="U105" s="23"/>
      <x:c r="V105" s="20" t="str">
        <x:f>IF(A105="","",TODAY()-I105)</x:f>
      </x:c>
      <x:c r="W105" s="20" t="str">
        <x:f>IF(A105="","",IF(AND(G105&lt;&gt;"Closed",G105&lt;&gt;"Accepted Risk",J105&lt;TODAY()),"YES","NO"))</x:f>
      </x:c>
    </x:row>
    <x:row r="106">
      <x:c r="A106" s="20"/>
      <x:c r="B106" s="20"/>
      <x:c r="C106" s="20"/>
      <x:c r="D106" s="20"/>
      <x:c r="E106" s="20"/>
      <x:c r="F106" s="20"/>
      <x:c r="G106" s="20"/>
      <x:c r="H106" s="20"/>
      <x:c r="I106" s="23"/>
      <x:c r="J106" s="23"/>
      <x:c r="K106" s="20"/>
      <x:c r="L106" s="20"/>
      <x:c r="M106" s="20"/>
      <x:c r="N106" s="20"/>
      <x:c r="O106" s="20"/>
      <x:c r="P106" s="20"/>
      <x:c r="Q106" s="20"/>
      <x:c r="R106" s="20"/>
      <x:c r="S106" s="23"/>
      <x:c r="T106" s="20"/>
      <x:c r="U106" s="23"/>
      <x:c r="V106" s="20" t="str">
        <x:f>IF(A106="","",TODAY()-I106)</x:f>
      </x:c>
      <x:c r="W106" s="20" t="str">
        <x:f>IF(A106="","",IF(AND(G106&lt;&gt;"Closed",G106&lt;&gt;"Accepted Risk",J106&lt;TODAY()),"YES","NO"))</x:f>
      </x:c>
    </x:row>
    <x:row r="107">
      <x:c r="A107" s="20"/>
      <x:c r="B107" s="20"/>
      <x:c r="C107" s="20"/>
      <x:c r="D107" s="20"/>
      <x:c r="E107" s="20"/>
      <x:c r="F107" s="20"/>
      <x:c r="G107" s="20"/>
      <x:c r="H107" s="20"/>
      <x:c r="I107" s="23"/>
      <x:c r="J107" s="23"/>
      <x:c r="K107" s="20"/>
      <x:c r="L107" s="20"/>
      <x:c r="M107" s="20"/>
      <x:c r="N107" s="20"/>
      <x:c r="O107" s="20"/>
      <x:c r="P107" s="20"/>
      <x:c r="Q107" s="20"/>
      <x:c r="R107" s="20"/>
      <x:c r="S107" s="23"/>
      <x:c r="T107" s="20"/>
      <x:c r="U107" s="23"/>
      <x:c r="V107" s="20" t="str">
        <x:f>IF(A107="","",TODAY()-I107)</x:f>
      </x:c>
      <x:c r="W107" s="20" t="str">
        <x:f>IF(A107="","",IF(AND(G107&lt;&gt;"Closed",G107&lt;&gt;"Accepted Risk",J107&lt;TODAY()),"YES","NO"))</x:f>
      </x:c>
    </x:row>
    <x:row r="108">
      <x:c r="A108" s="20"/>
      <x:c r="B108" s="20"/>
      <x:c r="C108" s="20"/>
      <x:c r="D108" s="20"/>
      <x:c r="E108" s="20"/>
      <x:c r="F108" s="20"/>
      <x:c r="G108" s="20"/>
      <x:c r="H108" s="20"/>
      <x:c r="I108" s="23"/>
      <x:c r="J108" s="23"/>
      <x:c r="K108" s="20"/>
      <x:c r="L108" s="20"/>
      <x:c r="M108" s="20"/>
      <x:c r="N108" s="20"/>
      <x:c r="O108" s="20"/>
      <x:c r="P108" s="20"/>
      <x:c r="Q108" s="20"/>
      <x:c r="R108" s="20"/>
      <x:c r="S108" s="23"/>
      <x:c r="T108" s="20"/>
      <x:c r="U108" s="23"/>
      <x:c r="V108" s="20" t="str">
        <x:f>IF(A108="","",TODAY()-I108)</x:f>
      </x:c>
      <x:c r="W108" s="20" t="str">
        <x:f>IF(A108="","",IF(AND(G108&lt;&gt;"Closed",G108&lt;&gt;"Accepted Risk",J108&lt;TODAY()),"YES","NO"))</x:f>
      </x:c>
    </x:row>
    <x:row r="109">
      <x:c r="A109" s="20"/>
      <x:c r="B109" s="20"/>
      <x:c r="C109" s="20"/>
      <x:c r="D109" s="20"/>
      <x:c r="E109" s="20"/>
      <x:c r="F109" s="20"/>
      <x:c r="G109" s="20"/>
      <x:c r="H109" s="20"/>
      <x:c r="I109" s="23"/>
      <x:c r="J109" s="23"/>
      <x:c r="K109" s="20"/>
      <x:c r="L109" s="20"/>
      <x:c r="M109" s="20"/>
      <x:c r="N109" s="20"/>
      <x:c r="O109" s="20"/>
      <x:c r="P109" s="20"/>
      <x:c r="Q109" s="20"/>
      <x:c r="R109" s="20"/>
      <x:c r="S109" s="23"/>
      <x:c r="T109" s="20"/>
      <x:c r="U109" s="23"/>
      <x:c r="V109" s="20" t="str">
        <x:f>IF(A109="","",TODAY()-I109)</x:f>
      </x:c>
      <x:c r="W109" s="20" t="str">
        <x:f>IF(A109="","",IF(AND(G109&lt;&gt;"Closed",G109&lt;&gt;"Accepted Risk",J109&lt;TODAY()),"YES","NO"))</x:f>
      </x:c>
    </x:row>
    <x:row r="110">
      <x:c r="A110" s="20"/>
      <x:c r="B110" s="20"/>
      <x:c r="C110" s="20"/>
      <x:c r="D110" s="20"/>
      <x:c r="E110" s="20"/>
      <x:c r="F110" s="20"/>
      <x:c r="G110" s="20"/>
      <x:c r="H110" s="20"/>
      <x:c r="I110" s="23"/>
      <x:c r="J110" s="23"/>
      <x:c r="K110" s="20"/>
      <x:c r="L110" s="20"/>
      <x:c r="M110" s="20"/>
      <x:c r="N110" s="20"/>
      <x:c r="O110" s="20"/>
      <x:c r="P110" s="20"/>
      <x:c r="Q110" s="20"/>
      <x:c r="R110" s="20"/>
      <x:c r="S110" s="23"/>
      <x:c r="T110" s="20"/>
      <x:c r="U110" s="23"/>
      <x:c r="V110" s="20" t="str">
        <x:f>IF(A110="","",TODAY()-I110)</x:f>
      </x:c>
      <x:c r="W110" s="20" t="str">
        <x:f>IF(A110="","",IF(AND(G110&lt;&gt;"Closed",G110&lt;&gt;"Accepted Risk",J110&lt;TODAY()),"YES","NO"))</x:f>
      </x:c>
    </x:row>
    <x:row r="111">
      <x:c r="A111" s="20"/>
      <x:c r="B111" s="20"/>
      <x:c r="C111" s="20"/>
      <x:c r="D111" s="20"/>
      <x:c r="E111" s="20"/>
      <x:c r="F111" s="20"/>
      <x:c r="G111" s="20"/>
      <x:c r="H111" s="20"/>
      <x:c r="I111" s="23"/>
      <x:c r="J111" s="23"/>
      <x:c r="K111" s="20"/>
      <x:c r="L111" s="20"/>
      <x:c r="M111" s="20"/>
      <x:c r="N111" s="20"/>
      <x:c r="O111" s="20"/>
      <x:c r="P111" s="20"/>
      <x:c r="Q111" s="20"/>
      <x:c r="R111" s="20"/>
      <x:c r="S111" s="23"/>
      <x:c r="T111" s="20"/>
      <x:c r="U111" s="23"/>
      <x:c r="V111" s="20" t="str">
        <x:f>IF(A111="","",TODAY()-I111)</x:f>
      </x:c>
      <x:c r="W111" s="20" t="str">
        <x:f>IF(A111="","",IF(AND(G111&lt;&gt;"Closed",G111&lt;&gt;"Accepted Risk",J111&lt;TODAY()),"YES","NO"))</x:f>
      </x:c>
    </x:row>
    <x:row r="112">
      <x:c r="A112" s="20"/>
      <x:c r="B112" s="20"/>
      <x:c r="C112" s="20"/>
      <x:c r="D112" s="20"/>
      <x:c r="E112" s="20"/>
      <x:c r="F112" s="20"/>
      <x:c r="G112" s="20"/>
      <x:c r="H112" s="20"/>
      <x:c r="I112" s="23"/>
      <x:c r="J112" s="23"/>
      <x:c r="K112" s="20"/>
      <x:c r="L112" s="20"/>
      <x:c r="M112" s="20"/>
      <x:c r="N112" s="20"/>
      <x:c r="O112" s="20"/>
      <x:c r="P112" s="20"/>
      <x:c r="Q112" s="20"/>
      <x:c r="R112" s="20"/>
      <x:c r="S112" s="23"/>
      <x:c r="T112" s="20"/>
      <x:c r="U112" s="23"/>
      <x:c r="V112" s="20" t="str">
        <x:f>IF(A112="","",TODAY()-I112)</x:f>
      </x:c>
      <x:c r="W112" s="20" t="str">
        <x:f>IF(A112="","",IF(AND(G112&lt;&gt;"Closed",G112&lt;&gt;"Accepted Risk",J112&lt;TODAY()),"YES","NO"))</x:f>
      </x:c>
    </x:row>
    <x:row r="113">
      <x:c r="A113" s="20"/>
      <x:c r="B113" s="20"/>
      <x:c r="C113" s="20"/>
      <x:c r="D113" s="20"/>
      <x:c r="E113" s="20"/>
      <x:c r="F113" s="20"/>
      <x:c r="G113" s="20"/>
      <x:c r="H113" s="20"/>
      <x:c r="I113" s="23"/>
      <x:c r="J113" s="23"/>
      <x:c r="K113" s="20"/>
      <x:c r="L113" s="20"/>
      <x:c r="M113" s="20"/>
      <x:c r="N113" s="20"/>
      <x:c r="O113" s="20"/>
      <x:c r="P113" s="20"/>
      <x:c r="Q113" s="20"/>
      <x:c r="R113" s="20"/>
      <x:c r="S113" s="23"/>
      <x:c r="T113" s="20"/>
      <x:c r="U113" s="23"/>
      <x:c r="V113" s="20" t="str">
        <x:f>IF(A113="","",TODAY()-I113)</x:f>
      </x:c>
      <x:c r="W113" s="20" t="str">
        <x:f>IF(A113="","",IF(AND(G113&lt;&gt;"Closed",G113&lt;&gt;"Accepted Risk",J113&lt;TODAY()),"YES","NO"))</x:f>
      </x:c>
    </x:row>
    <x:row r="114">
      <x:c r="A114" s="20"/>
      <x:c r="B114" s="20"/>
      <x:c r="C114" s="20"/>
      <x:c r="D114" s="20"/>
      <x:c r="E114" s="20"/>
      <x:c r="F114" s="20"/>
      <x:c r="G114" s="20"/>
      <x:c r="H114" s="20"/>
      <x:c r="I114" s="23"/>
      <x:c r="J114" s="23"/>
      <x:c r="K114" s="20"/>
      <x:c r="L114" s="20"/>
      <x:c r="M114" s="20"/>
      <x:c r="N114" s="20"/>
      <x:c r="O114" s="20"/>
      <x:c r="P114" s="20"/>
      <x:c r="Q114" s="20"/>
      <x:c r="R114" s="20"/>
      <x:c r="S114" s="23"/>
      <x:c r="T114" s="20"/>
      <x:c r="U114" s="23"/>
      <x:c r="V114" s="20" t="str">
        <x:f>IF(A114="","",TODAY()-I114)</x:f>
      </x:c>
      <x:c r="W114" s="20" t="str">
        <x:f>IF(A114="","",IF(AND(G114&lt;&gt;"Closed",G114&lt;&gt;"Accepted Risk",J114&lt;TODAY()),"YES","NO"))</x:f>
      </x:c>
    </x:row>
    <x:row r="115">
      <x:c r="A115" s="20"/>
      <x:c r="B115" s="20"/>
      <x:c r="C115" s="20"/>
      <x:c r="D115" s="20"/>
      <x:c r="E115" s="20"/>
      <x:c r="F115" s="20"/>
      <x:c r="G115" s="20"/>
      <x:c r="H115" s="20"/>
      <x:c r="I115" s="23"/>
      <x:c r="J115" s="23"/>
      <x:c r="K115" s="20"/>
      <x:c r="L115" s="20"/>
      <x:c r="M115" s="20"/>
      <x:c r="N115" s="20"/>
      <x:c r="O115" s="20"/>
      <x:c r="P115" s="20"/>
      <x:c r="Q115" s="20"/>
      <x:c r="R115" s="20"/>
      <x:c r="S115" s="23"/>
      <x:c r="T115" s="20"/>
      <x:c r="U115" s="23"/>
      <x:c r="V115" s="20" t="str">
        <x:f>IF(A115="","",TODAY()-I115)</x:f>
      </x:c>
      <x:c r="W115" s="20" t="str">
        <x:f>IF(A115="","",IF(AND(G115&lt;&gt;"Closed",G115&lt;&gt;"Accepted Risk",J115&lt;TODAY()),"YES","NO"))</x:f>
      </x:c>
    </x:row>
    <x:row r="116">
      <x:c r="A116" s="20"/>
      <x:c r="B116" s="20"/>
      <x:c r="C116" s="20"/>
      <x:c r="D116" s="20"/>
      <x:c r="E116" s="20"/>
      <x:c r="F116" s="20"/>
      <x:c r="G116" s="20"/>
      <x:c r="H116" s="20"/>
      <x:c r="I116" s="23"/>
      <x:c r="J116" s="23"/>
      <x:c r="K116" s="20"/>
      <x:c r="L116" s="20"/>
      <x:c r="M116" s="20"/>
      <x:c r="N116" s="20"/>
      <x:c r="O116" s="20"/>
      <x:c r="P116" s="20"/>
      <x:c r="Q116" s="20"/>
      <x:c r="R116" s="20"/>
      <x:c r="S116" s="23"/>
      <x:c r="T116" s="20"/>
      <x:c r="U116" s="23"/>
      <x:c r="V116" s="20" t="str">
        <x:f>IF(A116="","",TODAY()-I116)</x:f>
      </x:c>
      <x:c r="W116" s="20" t="str">
        <x:f>IF(A116="","",IF(AND(G116&lt;&gt;"Closed",G116&lt;&gt;"Accepted Risk",J116&lt;TODAY()),"YES","NO"))</x:f>
      </x:c>
    </x:row>
    <x:row r="117">
      <x:c r="A117" s="20"/>
      <x:c r="B117" s="20"/>
      <x:c r="C117" s="20"/>
      <x:c r="D117" s="20"/>
      <x:c r="E117" s="20"/>
      <x:c r="F117" s="20"/>
      <x:c r="G117" s="20"/>
      <x:c r="H117" s="20"/>
      <x:c r="I117" s="23"/>
      <x:c r="J117" s="23"/>
      <x:c r="K117" s="20"/>
      <x:c r="L117" s="20"/>
      <x:c r="M117" s="20"/>
      <x:c r="N117" s="20"/>
      <x:c r="O117" s="20"/>
      <x:c r="P117" s="20"/>
      <x:c r="Q117" s="20"/>
      <x:c r="R117" s="20"/>
      <x:c r="S117" s="23"/>
      <x:c r="T117" s="20"/>
      <x:c r="U117" s="23"/>
      <x:c r="V117" s="20" t="str">
        <x:f>IF(A117="","",TODAY()-I117)</x:f>
      </x:c>
      <x:c r="W117" s="20" t="str">
        <x:f>IF(A117="","",IF(AND(G117&lt;&gt;"Closed",G117&lt;&gt;"Accepted Risk",J117&lt;TODAY()),"YES","NO"))</x:f>
      </x:c>
    </x:row>
    <x:row r="118">
      <x:c r="A118" s="20"/>
      <x:c r="B118" s="20"/>
      <x:c r="C118" s="20"/>
      <x:c r="D118" s="20"/>
      <x:c r="E118" s="20"/>
      <x:c r="F118" s="20"/>
      <x:c r="G118" s="20"/>
      <x:c r="H118" s="20"/>
      <x:c r="I118" s="23"/>
      <x:c r="J118" s="23"/>
      <x:c r="K118" s="20"/>
      <x:c r="L118" s="20"/>
      <x:c r="M118" s="20"/>
      <x:c r="N118" s="20"/>
      <x:c r="O118" s="20"/>
      <x:c r="P118" s="20"/>
      <x:c r="Q118" s="20"/>
      <x:c r="R118" s="20"/>
      <x:c r="S118" s="23"/>
      <x:c r="T118" s="20"/>
      <x:c r="U118" s="23"/>
      <x:c r="V118" s="20" t="str">
        <x:f>IF(A118="","",TODAY()-I118)</x:f>
      </x:c>
      <x:c r="W118" s="20" t="str">
        <x:f>IF(A118="","",IF(AND(G118&lt;&gt;"Closed",G118&lt;&gt;"Accepted Risk",J118&lt;TODAY()),"YES","NO"))</x:f>
      </x:c>
    </x:row>
    <x:row r="119">
      <x:c r="A119" s="20"/>
      <x:c r="B119" s="20"/>
      <x:c r="C119" s="20"/>
      <x:c r="D119" s="20"/>
      <x:c r="E119" s="20"/>
      <x:c r="F119" s="20"/>
      <x:c r="G119" s="20"/>
      <x:c r="H119" s="20"/>
      <x:c r="I119" s="23"/>
      <x:c r="J119" s="23"/>
      <x:c r="K119" s="20"/>
      <x:c r="L119" s="20"/>
      <x:c r="M119" s="20"/>
      <x:c r="N119" s="20"/>
      <x:c r="O119" s="20"/>
      <x:c r="P119" s="20"/>
      <x:c r="Q119" s="20"/>
      <x:c r="R119" s="20"/>
      <x:c r="S119" s="23"/>
      <x:c r="T119" s="20"/>
      <x:c r="U119" s="23"/>
      <x:c r="V119" s="20" t="str">
        <x:f>IF(A119="","",TODAY()-I119)</x:f>
      </x:c>
      <x:c r="W119" s="20" t="str">
        <x:f>IF(A119="","",IF(AND(G119&lt;&gt;"Closed",G119&lt;&gt;"Accepted Risk",J119&lt;TODAY()),"YES","NO"))</x:f>
      </x:c>
    </x:row>
    <x:row r="120">
      <x:c r="A120" s="20"/>
      <x:c r="B120" s="20"/>
      <x:c r="C120" s="20"/>
      <x:c r="D120" s="20"/>
      <x:c r="E120" s="20"/>
      <x:c r="F120" s="20"/>
      <x:c r="G120" s="20"/>
      <x:c r="H120" s="20"/>
      <x:c r="I120" s="23"/>
      <x:c r="J120" s="23"/>
      <x:c r="K120" s="20"/>
      <x:c r="L120" s="20"/>
      <x:c r="M120" s="20"/>
      <x:c r="N120" s="20"/>
      <x:c r="O120" s="20"/>
      <x:c r="P120" s="20"/>
      <x:c r="Q120" s="20"/>
      <x:c r="R120" s="20"/>
      <x:c r="S120" s="23"/>
      <x:c r="T120" s="20"/>
      <x:c r="U120" s="23"/>
      <x:c r="V120" s="20" t="str">
        <x:f>IF(A120="","",TODAY()-I120)</x:f>
      </x:c>
      <x:c r="W120" s="20" t="str">
        <x:f>IF(A120="","",IF(AND(G120&lt;&gt;"Closed",G120&lt;&gt;"Accepted Risk",J120&lt;TODAY()),"YES","NO"))</x:f>
      </x:c>
    </x:row>
    <x:row r="121">
      <x:c r="A121" s="20"/>
      <x:c r="B121" s="20"/>
      <x:c r="C121" s="20"/>
      <x:c r="D121" s="20"/>
      <x:c r="E121" s="20"/>
      <x:c r="F121" s="20"/>
      <x:c r="G121" s="20"/>
      <x:c r="H121" s="20"/>
      <x:c r="I121" s="23"/>
      <x:c r="J121" s="23"/>
      <x:c r="K121" s="20"/>
      <x:c r="L121" s="20"/>
      <x:c r="M121" s="20"/>
      <x:c r="N121" s="20"/>
      <x:c r="O121" s="20"/>
      <x:c r="P121" s="20"/>
      <x:c r="Q121" s="20"/>
      <x:c r="R121" s="20"/>
      <x:c r="S121" s="23"/>
      <x:c r="T121" s="20"/>
      <x:c r="U121" s="23"/>
      <x:c r="V121" s="20" t="str">
        <x:f>IF(A121="","",TODAY()-I121)</x:f>
      </x:c>
      <x:c r="W121" s="20" t="str">
        <x:f>IF(A121="","",IF(AND(G121&lt;&gt;"Closed",G121&lt;&gt;"Accepted Risk",J121&lt;TODAY()),"YES","NO"))</x:f>
      </x:c>
    </x:row>
    <x:row r="122">
      <x:c r="A122" s="20"/>
      <x:c r="B122" s="20"/>
      <x:c r="C122" s="20"/>
      <x:c r="D122" s="20"/>
      <x:c r="E122" s="20"/>
      <x:c r="F122" s="20"/>
      <x:c r="G122" s="20"/>
      <x:c r="H122" s="20"/>
      <x:c r="I122" s="23"/>
      <x:c r="J122" s="23"/>
      <x:c r="K122" s="20"/>
      <x:c r="L122" s="20"/>
      <x:c r="M122" s="20"/>
      <x:c r="N122" s="20"/>
      <x:c r="O122" s="20"/>
      <x:c r="P122" s="20"/>
      <x:c r="Q122" s="20"/>
      <x:c r="R122" s="20"/>
      <x:c r="S122" s="23"/>
      <x:c r="T122" s="20"/>
      <x:c r="U122" s="23"/>
      <x:c r="V122" s="20" t="str">
        <x:f>IF(A122="","",TODAY()-I122)</x:f>
      </x:c>
      <x:c r="W122" s="20" t="str">
        <x:f>IF(A122="","",IF(AND(G122&lt;&gt;"Closed",G122&lt;&gt;"Accepted Risk",J122&lt;TODAY()),"YES","NO"))</x:f>
      </x:c>
    </x:row>
    <x:row r="123">
      <x:c r="A123" s="20"/>
      <x:c r="B123" s="20"/>
      <x:c r="C123" s="20"/>
      <x:c r="D123" s="20"/>
      <x:c r="E123" s="20"/>
      <x:c r="F123" s="20"/>
      <x:c r="G123" s="20"/>
      <x:c r="H123" s="20"/>
      <x:c r="I123" s="23"/>
      <x:c r="J123" s="23"/>
      <x:c r="K123" s="20"/>
      <x:c r="L123" s="20"/>
      <x:c r="M123" s="20"/>
      <x:c r="N123" s="20"/>
      <x:c r="O123" s="20"/>
      <x:c r="P123" s="20"/>
      <x:c r="Q123" s="20"/>
      <x:c r="R123" s="20"/>
      <x:c r="S123" s="23"/>
      <x:c r="T123" s="20"/>
      <x:c r="U123" s="23"/>
      <x:c r="V123" s="20" t="str">
        <x:f>IF(A123="","",TODAY()-I123)</x:f>
      </x:c>
      <x:c r="W123" s="20" t="str">
        <x:f>IF(A123="","",IF(AND(G123&lt;&gt;"Closed",G123&lt;&gt;"Accepted Risk",J123&lt;TODAY()),"YES","NO"))</x:f>
      </x:c>
    </x:row>
    <x:row r="124">
      <x:c r="A124" s="20"/>
      <x:c r="B124" s="20"/>
      <x:c r="C124" s="20"/>
      <x:c r="D124" s="20"/>
      <x:c r="E124" s="20"/>
      <x:c r="F124" s="20"/>
      <x:c r="G124" s="20"/>
      <x:c r="H124" s="20"/>
      <x:c r="I124" s="23"/>
      <x:c r="J124" s="23"/>
      <x:c r="K124" s="20"/>
      <x:c r="L124" s="20"/>
      <x:c r="M124" s="20"/>
      <x:c r="N124" s="20"/>
      <x:c r="O124" s="20"/>
      <x:c r="P124" s="20"/>
      <x:c r="Q124" s="20"/>
      <x:c r="R124" s="20"/>
      <x:c r="S124" s="23"/>
      <x:c r="T124" s="20"/>
      <x:c r="U124" s="23"/>
      <x:c r="V124" s="20" t="str">
        <x:f>IF(A124="","",TODAY()-I124)</x:f>
      </x:c>
      <x:c r="W124" s="20" t="str">
        <x:f>IF(A124="","",IF(AND(G124&lt;&gt;"Closed",G124&lt;&gt;"Accepted Risk",J124&lt;TODAY()),"YES","NO"))</x:f>
      </x:c>
    </x:row>
    <x:row r="125">
      <x:c r="A125" s="20"/>
      <x:c r="B125" s="20"/>
      <x:c r="C125" s="20"/>
      <x:c r="D125" s="20"/>
      <x:c r="E125" s="20"/>
      <x:c r="F125" s="20"/>
      <x:c r="G125" s="20"/>
      <x:c r="H125" s="20"/>
      <x:c r="I125" s="23"/>
      <x:c r="J125" s="23"/>
      <x:c r="K125" s="20"/>
      <x:c r="L125" s="20"/>
      <x:c r="M125" s="20"/>
      <x:c r="N125" s="20"/>
      <x:c r="O125" s="20"/>
      <x:c r="P125" s="20"/>
      <x:c r="Q125" s="20"/>
      <x:c r="R125" s="20"/>
      <x:c r="S125" s="23"/>
      <x:c r="T125" s="20"/>
      <x:c r="U125" s="23"/>
      <x:c r="V125" s="20" t="str">
        <x:f>IF(A125="","",TODAY()-I125)</x:f>
      </x:c>
      <x:c r="W125" s="20" t="str">
        <x:f>IF(A125="","",IF(AND(G125&lt;&gt;"Closed",G125&lt;&gt;"Accepted Risk",J125&lt;TODAY()),"YES","NO"))</x:f>
      </x:c>
    </x:row>
    <x:row r="126">
      <x:c r="A126" s="20"/>
      <x:c r="B126" s="20"/>
      <x:c r="C126" s="20"/>
      <x:c r="D126" s="20"/>
      <x:c r="E126" s="20"/>
      <x:c r="F126" s="20"/>
      <x:c r="G126" s="20"/>
      <x:c r="H126" s="20"/>
      <x:c r="I126" s="23"/>
      <x:c r="J126" s="23"/>
      <x:c r="K126" s="20"/>
      <x:c r="L126" s="20"/>
      <x:c r="M126" s="20"/>
      <x:c r="N126" s="20"/>
      <x:c r="O126" s="20"/>
      <x:c r="P126" s="20"/>
      <x:c r="Q126" s="20"/>
      <x:c r="R126" s="20"/>
      <x:c r="S126" s="23"/>
      <x:c r="T126" s="20"/>
      <x:c r="U126" s="23"/>
      <x:c r="V126" s="20" t="str">
        <x:f>IF(A126="","",TODAY()-I126)</x:f>
      </x:c>
      <x:c r="W126" s="20" t="str">
        <x:f>IF(A126="","",IF(AND(G126&lt;&gt;"Closed",G126&lt;&gt;"Accepted Risk",J126&lt;TODAY()),"YES","NO"))</x:f>
      </x:c>
    </x:row>
    <x:row r="127">
      <x:c r="A127" s="20"/>
      <x:c r="B127" s="20"/>
      <x:c r="C127" s="20"/>
      <x:c r="D127" s="20"/>
      <x:c r="E127" s="20"/>
      <x:c r="F127" s="20"/>
      <x:c r="G127" s="20"/>
      <x:c r="H127" s="20"/>
      <x:c r="I127" s="23"/>
      <x:c r="J127" s="23"/>
      <x:c r="K127" s="20"/>
      <x:c r="L127" s="20"/>
      <x:c r="M127" s="20"/>
      <x:c r="N127" s="20"/>
      <x:c r="O127" s="20"/>
      <x:c r="P127" s="20"/>
      <x:c r="Q127" s="20"/>
      <x:c r="R127" s="20"/>
      <x:c r="S127" s="23"/>
      <x:c r="T127" s="20"/>
      <x:c r="U127" s="23"/>
      <x:c r="V127" s="20" t="str">
        <x:f>IF(A127="","",TODAY()-I127)</x:f>
      </x:c>
      <x:c r="W127" s="20" t="str">
        <x:f>IF(A127="","",IF(AND(G127&lt;&gt;"Closed",G127&lt;&gt;"Accepted Risk",J127&lt;TODAY()),"YES","NO"))</x:f>
      </x:c>
    </x:row>
    <x:row r="128">
      <x:c r="A128" s="20"/>
      <x:c r="B128" s="20"/>
      <x:c r="C128" s="20"/>
      <x:c r="D128" s="20"/>
      <x:c r="E128" s="20"/>
      <x:c r="F128" s="20"/>
      <x:c r="G128" s="20"/>
      <x:c r="H128" s="20"/>
      <x:c r="I128" s="23"/>
      <x:c r="J128" s="23"/>
      <x:c r="K128" s="20"/>
      <x:c r="L128" s="20"/>
      <x:c r="M128" s="20"/>
      <x:c r="N128" s="20"/>
      <x:c r="O128" s="20"/>
      <x:c r="P128" s="20"/>
      <x:c r="Q128" s="20"/>
      <x:c r="R128" s="20"/>
      <x:c r="S128" s="23"/>
      <x:c r="T128" s="20"/>
      <x:c r="U128" s="23"/>
      <x:c r="V128" s="20" t="str">
        <x:f>IF(A128="","",TODAY()-I128)</x:f>
      </x:c>
      <x:c r="W128" s="20" t="str">
        <x:f>IF(A128="","",IF(AND(G128&lt;&gt;"Closed",G128&lt;&gt;"Accepted Risk",J128&lt;TODAY()),"YES","NO"))</x:f>
      </x:c>
    </x:row>
    <x:row r="129">
      <x:c r="A129" s="20"/>
      <x:c r="B129" s="20"/>
      <x:c r="C129" s="20"/>
      <x:c r="D129" s="20"/>
      <x:c r="E129" s="20"/>
      <x:c r="F129" s="20"/>
      <x:c r="G129" s="20"/>
      <x:c r="H129" s="20"/>
      <x:c r="I129" s="23"/>
      <x:c r="J129" s="23"/>
      <x:c r="K129" s="20"/>
      <x:c r="L129" s="20"/>
      <x:c r="M129" s="20"/>
      <x:c r="N129" s="20"/>
      <x:c r="O129" s="20"/>
      <x:c r="P129" s="20"/>
      <x:c r="Q129" s="20"/>
      <x:c r="R129" s="20"/>
      <x:c r="S129" s="23"/>
      <x:c r="T129" s="20"/>
      <x:c r="U129" s="23"/>
      <x:c r="V129" s="20" t="str">
        <x:f>IF(A129="","",TODAY()-I129)</x:f>
      </x:c>
      <x:c r="W129" s="20" t="str">
        <x:f>IF(A129="","",IF(AND(G129&lt;&gt;"Closed",G129&lt;&gt;"Accepted Risk",J129&lt;TODAY()),"YES","NO"))</x:f>
      </x:c>
    </x:row>
    <x:row r="130">
      <x:c r="A130" s="20"/>
      <x:c r="B130" s="20"/>
      <x:c r="C130" s="20"/>
      <x:c r="D130" s="20"/>
      <x:c r="E130" s="20"/>
      <x:c r="F130" s="20"/>
      <x:c r="G130" s="20"/>
      <x:c r="H130" s="20"/>
      <x:c r="I130" s="23"/>
      <x:c r="J130" s="23"/>
      <x:c r="K130" s="20"/>
      <x:c r="L130" s="20"/>
      <x:c r="M130" s="20"/>
      <x:c r="N130" s="20"/>
      <x:c r="O130" s="20"/>
      <x:c r="P130" s="20"/>
      <x:c r="Q130" s="20"/>
      <x:c r="R130" s="20"/>
      <x:c r="S130" s="23"/>
      <x:c r="T130" s="20"/>
      <x:c r="U130" s="23"/>
      <x:c r="V130" s="20" t="str">
        <x:f>IF(A130="","",TODAY()-I130)</x:f>
      </x:c>
      <x:c r="W130" s="20" t="str">
        <x:f>IF(A130="","",IF(AND(G130&lt;&gt;"Closed",G130&lt;&gt;"Accepted Risk",J130&lt;TODAY()),"YES","NO"))</x:f>
      </x:c>
    </x:row>
    <x:row r="131">
      <x:c r="A131" s="20"/>
      <x:c r="B131" s="20"/>
      <x:c r="C131" s="20"/>
      <x:c r="D131" s="20"/>
      <x:c r="E131" s="20"/>
      <x:c r="F131" s="20"/>
      <x:c r="G131" s="20"/>
      <x:c r="H131" s="20"/>
      <x:c r="I131" s="23"/>
      <x:c r="J131" s="23"/>
      <x:c r="K131" s="20"/>
      <x:c r="L131" s="20"/>
      <x:c r="M131" s="20"/>
      <x:c r="N131" s="20"/>
      <x:c r="O131" s="20"/>
      <x:c r="P131" s="20"/>
      <x:c r="Q131" s="20"/>
      <x:c r="R131" s="20"/>
      <x:c r="S131" s="23"/>
      <x:c r="T131" s="20"/>
      <x:c r="U131" s="23"/>
      <x:c r="V131" s="20" t="str">
        <x:f>IF(A131="","",TODAY()-I131)</x:f>
      </x:c>
      <x:c r="W131" s="20" t="str">
        <x:f>IF(A131="","",IF(AND(G131&lt;&gt;"Closed",G131&lt;&gt;"Accepted Risk",J131&lt;TODAY()),"YES","NO"))</x:f>
      </x:c>
    </x:row>
    <x:row r="132">
      <x:c r="A132" s="20"/>
      <x:c r="B132" s="20"/>
      <x:c r="C132" s="20"/>
      <x:c r="D132" s="20"/>
      <x:c r="E132" s="20"/>
      <x:c r="F132" s="20"/>
      <x:c r="G132" s="20"/>
      <x:c r="H132" s="20"/>
      <x:c r="I132" s="23"/>
      <x:c r="J132" s="23"/>
      <x:c r="K132" s="20"/>
      <x:c r="L132" s="20"/>
      <x:c r="M132" s="20"/>
      <x:c r="N132" s="20"/>
      <x:c r="O132" s="20"/>
      <x:c r="P132" s="20"/>
      <x:c r="Q132" s="20"/>
      <x:c r="R132" s="20"/>
      <x:c r="S132" s="23"/>
      <x:c r="T132" s="20"/>
      <x:c r="U132" s="23"/>
      <x:c r="V132" s="20" t="str">
        <x:f>IF(A132="","",TODAY()-I132)</x:f>
      </x:c>
      <x:c r="W132" s="20" t="str">
        <x:f>IF(A132="","",IF(AND(G132&lt;&gt;"Closed",G132&lt;&gt;"Accepted Risk",J132&lt;TODAY()),"YES","NO"))</x:f>
      </x:c>
    </x:row>
    <x:row r="133">
      <x:c r="A133" s="20"/>
      <x:c r="B133" s="20"/>
      <x:c r="C133" s="20"/>
      <x:c r="D133" s="20"/>
      <x:c r="E133" s="20"/>
      <x:c r="F133" s="20"/>
      <x:c r="G133" s="20"/>
      <x:c r="H133" s="20"/>
      <x:c r="I133" s="23"/>
      <x:c r="J133" s="23"/>
      <x:c r="K133" s="20"/>
      <x:c r="L133" s="20"/>
      <x:c r="M133" s="20"/>
      <x:c r="N133" s="20"/>
      <x:c r="O133" s="20"/>
      <x:c r="P133" s="20"/>
      <x:c r="Q133" s="20"/>
      <x:c r="R133" s="20"/>
      <x:c r="S133" s="23"/>
      <x:c r="T133" s="20"/>
      <x:c r="U133" s="23"/>
      <x:c r="V133" s="20" t="str">
        <x:f>IF(A133="","",TODAY()-I133)</x:f>
      </x:c>
      <x:c r="W133" s="20" t="str">
        <x:f>IF(A133="","",IF(AND(G133&lt;&gt;"Closed",G133&lt;&gt;"Accepted Risk",J133&lt;TODAY()),"YES","NO"))</x:f>
      </x:c>
    </x:row>
    <x:row r="134">
      <x:c r="A134" s="20"/>
      <x:c r="B134" s="20"/>
      <x:c r="C134" s="20"/>
      <x:c r="D134" s="20"/>
      <x:c r="E134" s="20"/>
      <x:c r="F134" s="20"/>
      <x:c r="G134" s="20"/>
      <x:c r="H134" s="20"/>
      <x:c r="I134" s="23"/>
      <x:c r="J134" s="23"/>
      <x:c r="K134" s="20"/>
      <x:c r="L134" s="20"/>
      <x:c r="M134" s="20"/>
      <x:c r="N134" s="20"/>
      <x:c r="O134" s="20"/>
      <x:c r="P134" s="20"/>
      <x:c r="Q134" s="20"/>
      <x:c r="R134" s="20"/>
      <x:c r="S134" s="23"/>
      <x:c r="T134" s="20"/>
      <x:c r="U134" s="23"/>
      <x:c r="V134" s="20" t="str">
        <x:f>IF(A134="","",TODAY()-I134)</x:f>
      </x:c>
      <x:c r="W134" s="20" t="str">
        <x:f>IF(A134="","",IF(AND(G134&lt;&gt;"Closed",G134&lt;&gt;"Accepted Risk",J134&lt;TODAY()),"YES","NO"))</x:f>
      </x:c>
    </x:row>
    <x:row r="135">
      <x:c r="A135" s="20"/>
      <x:c r="B135" s="20"/>
      <x:c r="C135" s="20"/>
      <x:c r="D135" s="20"/>
      <x:c r="E135" s="20"/>
      <x:c r="F135" s="20"/>
      <x:c r="G135" s="20"/>
      <x:c r="H135" s="20"/>
      <x:c r="I135" s="23"/>
      <x:c r="J135" s="23"/>
      <x:c r="K135" s="20"/>
      <x:c r="L135" s="20"/>
      <x:c r="M135" s="20"/>
      <x:c r="N135" s="20"/>
      <x:c r="O135" s="20"/>
      <x:c r="P135" s="20"/>
      <x:c r="Q135" s="20"/>
      <x:c r="R135" s="20"/>
      <x:c r="S135" s="23"/>
      <x:c r="T135" s="20"/>
      <x:c r="U135" s="23"/>
      <x:c r="V135" s="20" t="str">
        <x:f>IF(A135="","",TODAY()-I135)</x:f>
      </x:c>
      <x:c r="W135" s="20" t="str">
        <x:f>IF(A135="","",IF(AND(G135&lt;&gt;"Closed",G135&lt;&gt;"Accepted Risk",J135&lt;TODAY()),"YES","NO"))</x:f>
      </x:c>
    </x:row>
    <x:row r="136">
      <x:c r="A136" s="20"/>
      <x:c r="B136" s="20"/>
      <x:c r="C136" s="20"/>
      <x:c r="D136" s="20"/>
      <x:c r="E136" s="20"/>
      <x:c r="F136" s="20"/>
      <x:c r="G136" s="20"/>
      <x:c r="H136" s="20"/>
      <x:c r="I136" s="23"/>
      <x:c r="J136" s="23"/>
      <x:c r="K136" s="20"/>
      <x:c r="L136" s="20"/>
      <x:c r="M136" s="20"/>
      <x:c r="N136" s="20"/>
      <x:c r="O136" s="20"/>
      <x:c r="P136" s="20"/>
      <x:c r="Q136" s="20"/>
      <x:c r="R136" s="20"/>
      <x:c r="S136" s="23"/>
      <x:c r="T136" s="20"/>
      <x:c r="U136" s="23"/>
      <x:c r="V136" s="20" t="str">
        <x:f>IF(A136="","",TODAY()-I136)</x:f>
      </x:c>
      <x:c r="W136" s="20" t="str">
        <x:f>IF(A136="","",IF(AND(G136&lt;&gt;"Closed",G136&lt;&gt;"Accepted Risk",J136&lt;TODAY()),"YES","NO"))</x:f>
      </x:c>
    </x:row>
    <x:row r="137">
      <x:c r="A137" s="20"/>
      <x:c r="B137" s="20"/>
      <x:c r="C137" s="20"/>
      <x:c r="D137" s="20"/>
      <x:c r="E137" s="20"/>
      <x:c r="F137" s="20"/>
      <x:c r="G137" s="20"/>
      <x:c r="H137" s="20"/>
      <x:c r="I137" s="23"/>
      <x:c r="J137" s="23"/>
      <x:c r="K137" s="20"/>
      <x:c r="L137" s="20"/>
      <x:c r="M137" s="20"/>
      <x:c r="N137" s="20"/>
      <x:c r="O137" s="20"/>
      <x:c r="P137" s="20"/>
      <x:c r="Q137" s="20"/>
      <x:c r="R137" s="20"/>
      <x:c r="S137" s="23"/>
      <x:c r="T137" s="20"/>
      <x:c r="U137" s="23"/>
      <x:c r="V137" s="20" t="str">
        <x:f>IF(A137="","",TODAY()-I137)</x:f>
      </x:c>
      <x:c r="W137" s="20" t="str">
        <x:f>IF(A137="","",IF(AND(G137&lt;&gt;"Closed",G137&lt;&gt;"Accepted Risk",J137&lt;TODAY()),"YES","NO"))</x:f>
      </x:c>
    </x:row>
    <x:row r="138">
      <x:c r="A138" s="20"/>
      <x:c r="B138" s="20"/>
      <x:c r="C138" s="20"/>
      <x:c r="D138" s="20"/>
      <x:c r="E138" s="20"/>
      <x:c r="F138" s="20"/>
      <x:c r="G138" s="20"/>
      <x:c r="H138" s="20"/>
      <x:c r="I138" s="23"/>
      <x:c r="J138" s="23"/>
      <x:c r="K138" s="20"/>
      <x:c r="L138" s="20"/>
      <x:c r="M138" s="20"/>
      <x:c r="N138" s="20"/>
      <x:c r="O138" s="20"/>
      <x:c r="P138" s="20"/>
      <x:c r="Q138" s="20"/>
      <x:c r="R138" s="20"/>
      <x:c r="S138" s="23"/>
      <x:c r="T138" s="20"/>
      <x:c r="U138" s="23"/>
      <x:c r="V138" s="20" t="str">
        <x:f>IF(A138="","",TODAY()-I138)</x:f>
      </x:c>
      <x:c r="W138" s="20" t="str">
        <x:f>IF(A138="","",IF(AND(G138&lt;&gt;"Closed",G138&lt;&gt;"Accepted Risk",J138&lt;TODAY()),"YES","NO"))</x:f>
      </x:c>
    </x:row>
    <x:row r="139">
      <x:c r="A139" s="20"/>
      <x:c r="B139" s="20"/>
      <x:c r="C139" s="20"/>
      <x:c r="D139" s="20"/>
      <x:c r="E139" s="20"/>
      <x:c r="F139" s="20"/>
      <x:c r="G139" s="20"/>
      <x:c r="H139" s="20"/>
      <x:c r="I139" s="23"/>
      <x:c r="J139" s="23"/>
      <x:c r="K139" s="20"/>
      <x:c r="L139" s="20"/>
      <x:c r="M139" s="20"/>
      <x:c r="N139" s="20"/>
      <x:c r="O139" s="20"/>
      <x:c r="P139" s="20"/>
      <x:c r="Q139" s="20"/>
      <x:c r="R139" s="20"/>
      <x:c r="S139" s="23"/>
      <x:c r="T139" s="20"/>
      <x:c r="U139" s="23"/>
      <x:c r="V139" s="20" t="str">
        <x:f>IF(A139="","",TODAY()-I139)</x:f>
      </x:c>
      <x:c r="W139" s="20" t="str">
        <x:f>IF(A139="","",IF(AND(G139&lt;&gt;"Closed",G139&lt;&gt;"Accepted Risk",J139&lt;TODAY()),"YES","NO"))</x:f>
      </x:c>
    </x:row>
    <x:row r="140">
      <x:c r="A140" s="20"/>
      <x:c r="B140" s="20"/>
      <x:c r="C140" s="20"/>
      <x:c r="D140" s="20"/>
      <x:c r="E140" s="20"/>
      <x:c r="F140" s="20"/>
      <x:c r="G140" s="20"/>
      <x:c r="H140" s="20"/>
      <x:c r="I140" s="23"/>
      <x:c r="J140" s="23"/>
      <x:c r="K140" s="20"/>
      <x:c r="L140" s="20"/>
      <x:c r="M140" s="20"/>
      <x:c r="N140" s="20"/>
      <x:c r="O140" s="20"/>
      <x:c r="P140" s="20"/>
      <x:c r="Q140" s="20"/>
      <x:c r="R140" s="20"/>
      <x:c r="S140" s="23"/>
      <x:c r="T140" s="20"/>
      <x:c r="U140" s="23"/>
      <x:c r="V140" s="20" t="str">
        <x:f>IF(A140="","",TODAY()-I140)</x:f>
      </x:c>
      <x:c r="W140" s="20" t="str">
        <x:f>IF(A140="","",IF(AND(G140&lt;&gt;"Closed",G140&lt;&gt;"Accepted Risk",J140&lt;TODAY()),"YES","NO"))</x:f>
      </x:c>
    </x:row>
    <x:row r="141">
      <x:c r="A141" s="20"/>
      <x:c r="B141" s="20"/>
      <x:c r="C141" s="20"/>
      <x:c r="D141" s="20"/>
      <x:c r="E141" s="20"/>
      <x:c r="F141" s="20"/>
      <x:c r="G141" s="20"/>
      <x:c r="H141" s="20"/>
      <x:c r="I141" s="23"/>
      <x:c r="J141" s="23"/>
      <x:c r="K141" s="20"/>
      <x:c r="L141" s="20"/>
      <x:c r="M141" s="20"/>
      <x:c r="N141" s="20"/>
      <x:c r="O141" s="20"/>
      <x:c r="P141" s="20"/>
      <x:c r="Q141" s="20"/>
      <x:c r="R141" s="20"/>
      <x:c r="S141" s="23"/>
      <x:c r="T141" s="20"/>
      <x:c r="U141" s="23"/>
      <x:c r="V141" s="20" t="str">
        <x:f>IF(A141="","",TODAY()-I141)</x:f>
      </x:c>
      <x:c r="W141" s="20" t="str">
        <x:f>IF(A141="","",IF(AND(G141&lt;&gt;"Closed",G141&lt;&gt;"Accepted Risk",J141&lt;TODAY()),"YES","NO"))</x:f>
      </x:c>
    </x:row>
    <x:row r="142">
      <x:c r="A142" s="20"/>
      <x:c r="B142" s="20"/>
      <x:c r="C142" s="20"/>
      <x:c r="D142" s="20"/>
      <x:c r="E142" s="20"/>
      <x:c r="F142" s="20"/>
      <x:c r="G142" s="20"/>
      <x:c r="H142" s="20"/>
      <x:c r="I142" s="23"/>
      <x:c r="J142" s="23"/>
      <x:c r="K142" s="20"/>
      <x:c r="L142" s="20"/>
      <x:c r="M142" s="20"/>
      <x:c r="N142" s="20"/>
      <x:c r="O142" s="20"/>
      <x:c r="P142" s="20"/>
      <x:c r="Q142" s="20"/>
      <x:c r="R142" s="20"/>
      <x:c r="S142" s="23"/>
      <x:c r="T142" s="20"/>
      <x:c r="U142" s="23"/>
      <x:c r="V142" s="20" t="str">
        <x:f>IF(A142="","",TODAY()-I142)</x:f>
      </x:c>
      <x:c r="W142" s="20" t="str">
        <x:f>IF(A142="","",IF(AND(G142&lt;&gt;"Closed",G142&lt;&gt;"Accepted Risk",J142&lt;TODAY()),"YES","NO"))</x:f>
      </x:c>
    </x:row>
    <x:row r="143">
      <x:c r="A143" s="20"/>
      <x:c r="B143" s="20"/>
      <x:c r="C143" s="20"/>
      <x:c r="D143" s="20"/>
      <x:c r="E143" s="20"/>
      <x:c r="F143" s="20"/>
      <x:c r="G143" s="20"/>
      <x:c r="H143" s="20"/>
      <x:c r="I143" s="23"/>
      <x:c r="J143" s="23"/>
      <x:c r="K143" s="20"/>
      <x:c r="L143" s="20"/>
      <x:c r="M143" s="20"/>
      <x:c r="N143" s="20"/>
      <x:c r="O143" s="20"/>
      <x:c r="P143" s="20"/>
      <x:c r="Q143" s="20"/>
      <x:c r="R143" s="20"/>
      <x:c r="S143" s="23"/>
      <x:c r="T143" s="20"/>
      <x:c r="U143" s="23"/>
      <x:c r="V143" s="20" t="str">
        <x:f>IF(A143="","",TODAY()-I143)</x:f>
      </x:c>
      <x:c r="W143" s="20" t="str">
        <x:f>IF(A143="","",IF(AND(G143&lt;&gt;"Closed",G143&lt;&gt;"Accepted Risk",J143&lt;TODAY()),"YES","NO"))</x:f>
      </x:c>
    </x:row>
    <x:row r="144">
      <x:c r="A144" s="20"/>
      <x:c r="B144" s="20"/>
      <x:c r="C144" s="20"/>
      <x:c r="D144" s="20"/>
      <x:c r="E144" s="20"/>
      <x:c r="F144" s="20"/>
      <x:c r="G144" s="20"/>
      <x:c r="H144" s="20"/>
      <x:c r="I144" s="23"/>
      <x:c r="J144" s="23"/>
      <x:c r="K144" s="20"/>
      <x:c r="L144" s="20"/>
      <x:c r="M144" s="20"/>
      <x:c r="N144" s="20"/>
      <x:c r="O144" s="20"/>
      <x:c r="P144" s="20"/>
      <x:c r="Q144" s="20"/>
      <x:c r="R144" s="20"/>
      <x:c r="S144" s="23"/>
      <x:c r="T144" s="20"/>
      <x:c r="U144" s="23"/>
      <x:c r="V144" s="20" t="str">
        <x:f>IF(A144="","",TODAY()-I144)</x:f>
      </x:c>
      <x:c r="W144" s="20" t="str">
        <x:f>IF(A144="","",IF(AND(G144&lt;&gt;"Closed",G144&lt;&gt;"Accepted Risk",J144&lt;TODAY()),"YES","NO"))</x:f>
      </x:c>
    </x:row>
    <x:row r="145">
      <x:c r="A145" s="20"/>
      <x:c r="B145" s="20"/>
      <x:c r="C145" s="20"/>
      <x:c r="D145" s="20"/>
      <x:c r="E145" s="20"/>
      <x:c r="F145" s="20"/>
      <x:c r="G145" s="20"/>
      <x:c r="H145" s="20"/>
      <x:c r="I145" s="23"/>
      <x:c r="J145" s="23"/>
      <x:c r="K145" s="20"/>
      <x:c r="L145" s="20"/>
      <x:c r="M145" s="20"/>
      <x:c r="N145" s="20"/>
      <x:c r="O145" s="20"/>
      <x:c r="P145" s="20"/>
      <x:c r="Q145" s="20"/>
      <x:c r="R145" s="20"/>
      <x:c r="S145" s="23"/>
      <x:c r="T145" s="20"/>
      <x:c r="U145" s="23"/>
      <x:c r="V145" s="20" t="str">
        <x:f>IF(A145="","",TODAY()-I145)</x:f>
      </x:c>
      <x:c r="W145" s="20" t="str">
        <x:f>IF(A145="","",IF(AND(G145&lt;&gt;"Closed",G145&lt;&gt;"Accepted Risk",J145&lt;TODAY()),"YES","NO"))</x:f>
      </x:c>
    </x:row>
    <x:row r="146">
      <x:c r="A146" s="20"/>
      <x:c r="B146" s="20"/>
      <x:c r="C146" s="20"/>
      <x:c r="D146" s="20"/>
      <x:c r="E146" s="20"/>
      <x:c r="F146" s="20"/>
      <x:c r="G146" s="20"/>
      <x:c r="H146" s="20"/>
      <x:c r="I146" s="23"/>
      <x:c r="J146" s="23"/>
      <x:c r="K146" s="20"/>
      <x:c r="L146" s="20"/>
      <x:c r="M146" s="20"/>
      <x:c r="N146" s="20"/>
      <x:c r="O146" s="20"/>
      <x:c r="P146" s="20"/>
      <x:c r="Q146" s="20"/>
      <x:c r="R146" s="20"/>
      <x:c r="S146" s="23"/>
      <x:c r="T146" s="20"/>
      <x:c r="U146" s="23"/>
      <x:c r="V146" s="20" t="str">
        <x:f>IF(A146="","",TODAY()-I146)</x:f>
      </x:c>
      <x:c r="W146" s="20" t="str">
        <x:f>IF(A146="","",IF(AND(G146&lt;&gt;"Closed",G146&lt;&gt;"Accepted Risk",J146&lt;TODAY()),"YES","NO"))</x:f>
      </x:c>
    </x:row>
    <x:row r="147">
      <x:c r="A147" s="20"/>
      <x:c r="B147" s="20"/>
      <x:c r="C147" s="20"/>
      <x:c r="D147" s="20"/>
      <x:c r="E147" s="20"/>
      <x:c r="F147" s="20"/>
      <x:c r="G147" s="20"/>
      <x:c r="H147" s="20"/>
      <x:c r="I147" s="23"/>
      <x:c r="J147" s="23"/>
      <x:c r="K147" s="20"/>
      <x:c r="L147" s="20"/>
      <x:c r="M147" s="20"/>
      <x:c r="N147" s="20"/>
      <x:c r="O147" s="20"/>
      <x:c r="P147" s="20"/>
      <x:c r="Q147" s="20"/>
      <x:c r="R147" s="20"/>
      <x:c r="S147" s="23"/>
      <x:c r="T147" s="20"/>
      <x:c r="U147" s="23"/>
      <x:c r="V147" s="20" t="str">
        <x:f>IF(A147="","",TODAY()-I147)</x:f>
      </x:c>
      <x:c r="W147" s="20" t="str">
        <x:f>IF(A147="","",IF(AND(G147&lt;&gt;"Closed",G147&lt;&gt;"Accepted Risk",J147&lt;TODAY()),"YES","NO"))</x:f>
      </x:c>
    </x:row>
    <x:row r="148">
      <x:c r="A148" s="20"/>
      <x:c r="B148" s="20"/>
      <x:c r="C148" s="20"/>
      <x:c r="D148" s="20"/>
      <x:c r="E148" s="20"/>
      <x:c r="F148" s="20"/>
      <x:c r="G148" s="20"/>
      <x:c r="H148" s="20"/>
      <x:c r="I148" s="23"/>
      <x:c r="J148" s="23"/>
      <x:c r="K148" s="20"/>
      <x:c r="L148" s="20"/>
      <x:c r="M148" s="20"/>
      <x:c r="N148" s="20"/>
      <x:c r="O148" s="20"/>
      <x:c r="P148" s="20"/>
      <x:c r="Q148" s="20"/>
      <x:c r="R148" s="20"/>
      <x:c r="S148" s="23"/>
      <x:c r="T148" s="20"/>
      <x:c r="U148" s="23"/>
      <x:c r="V148" s="20" t="str">
        <x:f>IF(A148="","",TODAY()-I148)</x:f>
      </x:c>
      <x:c r="W148" s="20" t="str">
        <x:f>IF(A148="","",IF(AND(G148&lt;&gt;"Closed",G148&lt;&gt;"Accepted Risk",J148&lt;TODAY()),"YES","NO"))</x:f>
      </x:c>
    </x:row>
    <x:row r="149">
      <x:c r="A149" s="20"/>
      <x:c r="B149" s="20"/>
      <x:c r="C149" s="20"/>
      <x:c r="D149" s="20"/>
      <x:c r="E149" s="20"/>
      <x:c r="F149" s="20"/>
      <x:c r="G149" s="20"/>
      <x:c r="H149" s="20"/>
      <x:c r="I149" s="23"/>
      <x:c r="J149" s="23"/>
      <x:c r="K149" s="20"/>
      <x:c r="L149" s="20"/>
      <x:c r="M149" s="20"/>
      <x:c r="N149" s="20"/>
      <x:c r="O149" s="20"/>
      <x:c r="P149" s="20"/>
      <x:c r="Q149" s="20"/>
      <x:c r="R149" s="20"/>
      <x:c r="S149" s="23"/>
      <x:c r="T149" s="20"/>
      <x:c r="U149" s="23"/>
      <x:c r="V149" s="20" t="str">
        <x:f>IF(A149="","",TODAY()-I149)</x:f>
      </x:c>
      <x:c r="W149" s="20" t="str">
        <x:f>IF(A149="","",IF(AND(G149&lt;&gt;"Closed",G149&lt;&gt;"Accepted Risk",J149&lt;TODAY()),"YES","NO"))</x:f>
      </x:c>
    </x:row>
    <x:row r="150">
      <x:c r="A150" s="20"/>
      <x:c r="B150" s="20"/>
      <x:c r="C150" s="20"/>
      <x:c r="D150" s="20"/>
      <x:c r="E150" s="20"/>
      <x:c r="F150" s="20"/>
      <x:c r="G150" s="20"/>
      <x:c r="H150" s="20"/>
      <x:c r="I150" s="23"/>
      <x:c r="J150" s="23"/>
      <x:c r="K150" s="20"/>
      <x:c r="L150" s="20"/>
      <x:c r="M150" s="20"/>
      <x:c r="N150" s="20"/>
      <x:c r="O150" s="20"/>
      <x:c r="P150" s="20"/>
      <x:c r="Q150" s="20"/>
      <x:c r="R150" s="20"/>
      <x:c r="S150" s="23"/>
      <x:c r="T150" s="20"/>
      <x:c r="U150" s="23"/>
      <x:c r="V150" s="20" t="str">
        <x:f>IF(A150="","",TODAY()-I150)</x:f>
      </x:c>
      <x:c r="W150" s="20" t="str">
        <x:f>IF(A150="","",IF(AND(G150&lt;&gt;"Closed",G150&lt;&gt;"Accepted Risk",J150&lt;TODAY()),"YES","NO"))</x:f>
      </x:c>
    </x:row>
    <x:row r="151">
      <x:c r="A151" s="20"/>
      <x:c r="B151" s="20"/>
      <x:c r="C151" s="20"/>
      <x:c r="D151" s="20"/>
      <x:c r="E151" s="20"/>
      <x:c r="F151" s="20"/>
      <x:c r="G151" s="20"/>
      <x:c r="H151" s="20"/>
      <x:c r="I151" s="23"/>
      <x:c r="J151" s="23"/>
      <x:c r="K151" s="20"/>
      <x:c r="L151" s="20"/>
      <x:c r="M151" s="20"/>
      <x:c r="N151" s="20"/>
      <x:c r="O151" s="20"/>
      <x:c r="P151" s="20"/>
      <x:c r="Q151" s="20"/>
      <x:c r="R151" s="20"/>
      <x:c r="S151" s="23"/>
      <x:c r="T151" s="20"/>
      <x:c r="U151" s="23"/>
      <x:c r="V151" s="20" t="str">
        <x:f>IF(A151="","",TODAY()-I151)</x:f>
      </x:c>
      <x:c r="W151" s="20" t="str">
        <x:f>IF(A151="","",IF(AND(G151&lt;&gt;"Closed",G151&lt;&gt;"Accepted Risk",J151&lt;TODAY()),"YES","NO"))</x:f>
      </x:c>
    </x:row>
    <x:row r="152">
      <x:c r="A152" s="20"/>
      <x:c r="B152" s="20"/>
      <x:c r="C152" s="20"/>
      <x:c r="D152" s="20"/>
      <x:c r="E152" s="20"/>
      <x:c r="F152" s="20"/>
      <x:c r="G152" s="20"/>
      <x:c r="H152" s="20"/>
      <x:c r="I152" s="23"/>
      <x:c r="J152" s="23"/>
      <x:c r="K152" s="20"/>
      <x:c r="L152" s="20"/>
      <x:c r="M152" s="20"/>
      <x:c r="N152" s="20"/>
      <x:c r="O152" s="20"/>
      <x:c r="P152" s="20"/>
      <x:c r="Q152" s="20"/>
      <x:c r="R152" s="20"/>
      <x:c r="S152" s="23"/>
      <x:c r="T152" s="20"/>
      <x:c r="U152" s="23"/>
      <x:c r="V152" s="20" t="str">
        <x:f>IF(A152="","",TODAY()-I152)</x:f>
      </x:c>
      <x:c r="W152" s="20" t="str">
        <x:f>IF(A152="","",IF(AND(G152&lt;&gt;"Closed",G152&lt;&gt;"Accepted Risk",J152&lt;TODAY()),"YES","NO"))</x:f>
      </x:c>
    </x:row>
    <x:row r="153">
      <x:c r="A153" s="20"/>
      <x:c r="B153" s="20"/>
      <x:c r="C153" s="20"/>
      <x:c r="D153" s="20"/>
      <x:c r="E153" s="20"/>
      <x:c r="F153" s="20"/>
      <x:c r="G153" s="20"/>
      <x:c r="H153" s="20"/>
      <x:c r="I153" s="23"/>
      <x:c r="J153" s="23"/>
      <x:c r="K153" s="20"/>
      <x:c r="L153" s="20"/>
      <x:c r="M153" s="20"/>
      <x:c r="N153" s="20"/>
      <x:c r="O153" s="20"/>
      <x:c r="P153" s="20"/>
      <x:c r="Q153" s="20"/>
      <x:c r="R153" s="20"/>
      <x:c r="S153" s="23"/>
      <x:c r="T153" s="20"/>
      <x:c r="U153" s="23"/>
      <x:c r="V153" s="20" t="str">
        <x:f>IF(A153="","",TODAY()-I153)</x:f>
      </x:c>
      <x:c r="W153" s="20" t="str">
        <x:f>IF(A153="","",IF(AND(G153&lt;&gt;"Closed",G153&lt;&gt;"Accepted Risk",J153&lt;TODAY()),"YES","NO"))</x:f>
      </x:c>
    </x:row>
    <x:row r="154">
      <x:c r="A154" s="20"/>
      <x:c r="B154" s="20"/>
      <x:c r="C154" s="20"/>
      <x:c r="D154" s="20"/>
      <x:c r="E154" s="20"/>
      <x:c r="F154" s="20"/>
      <x:c r="G154" s="20"/>
      <x:c r="H154" s="20"/>
      <x:c r="I154" s="23"/>
      <x:c r="J154" s="23"/>
      <x:c r="K154" s="20"/>
      <x:c r="L154" s="20"/>
      <x:c r="M154" s="20"/>
      <x:c r="N154" s="20"/>
      <x:c r="O154" s="20"/>
      <x:c r="P154" s="20"/>
      <x:c r="Q154" s="20"/>
      <x:c r="R154" s="20"/>
      <x:c r="S154" s="23"/>
      <x:c r="T154" s="20"/>
      <x:c r="U154" s="23"/>
      <x:c r="V154" s="20" t="str">
        <x:f>IF(A154="","",TODAY()-I154)</x:f>
      </x:c>
      <x:c r="W154" s="20" t="str">
        <x:f>IF(A154="","",IF(AND(G154&lt;&gt;"Closed",G154&lt;&gt;"Accepted Risk",J154&lt;TODAY()),"YES","NO"))</x:f>
      </x:c>
    </x:row>
    <x:row r="155">
      <x:c r="A155" s="20"/>
      <x:c r="B155" s="20"/>
      <x:c r="C155" s="20"/>
      <x:c r="D155" s="20"/>
      <x:c r="E155" s="20"/>
      <x:c r="F155" s="20"/>
      <x:c r="G155" s="20"/>
      <x:c r="H155" s="20"/>
      <x:c r="I155" s="23"/>
      <x:c r="J155" s="23"/>
      <x:c r="K155" s="20"/>
      <x:c r="L155" s="20"/>
      <x:c r="M155" s="20"/>
      <x:c r="N155" s="20"/>
      <x:c r="O155" s="20"/>
      <x:c r="P155" s="20"/>
      <x:c r="Q155" s="20"/>
      <x:c r="R155" s="20"/>
      <x:c r="S155" s="23"/>
      <x:c r="T155" s="20"/>
      <x:c r="U155" s="23"/>
      <x:c r="V155" s="20" t="str">
        <x:f>IF(A155="","",TODAY()-I155)</x:f>
      </x:c>
      <x:c r="W155" s="20" t="str">
        <x:f>IF(A155="","",IF(AND(G155&lt;&gt;"Closed",G155&lt;&gt;"Accepted Risk",J155&lt;TODAY()),"YES","NO"))</x:f>
      </x:c>
    </x:row>
    <x:row r="156">
      <x:c r="A156" s="20"/>
      <x:c r="B156" s="20"/>
      <x:c r="C156" s="20"/>
      <x:c r="D156" s="20"/>
      <x:c r="E156" s="20"/>
      <x:c r="F156" s="20"/>
      <x:c r="G156" s="20"/>
      <x:c r="H156" s="20"/>
      <x:c r="I156" s="23"/>
      <x:c r="J156" s="23"/>
      <x:c r="K156" s="20"/>
      <x:c r="L156" s="20"/>
      <x:c r="M156" s="20"/>
      <x:c r="N156" s="20"/>
      <x:c r="O156" s="20"/>
      <x:c r="P156" s="20"/>
      <x:c r="Q156" s="20"/>
      <x:c r="R156" s="20"/>
      <x:c r="S156" s="23"/>
      <x:c r="T156" s="20"/>
      <x:c r="U156" s="23"/>
      <x:c r="V156" s="20" t="str">
        <x:f>IF(A156="","",TODAY()-I156)</x:f>
      </x:c>
      <x:c r="W156" s="20" t="str">
        <x:f>IF(A156="","",IF(AND(G156&lt;&gt;"Closed",G156&lt;&gt;"Accepted Risk",J156&lt;TODAY()),"YES","NO"))</x:f>
      </x:c>
    </x:row>
    <x:row r="157">
      <x:c r="A157" s="20"/>
      <x:c r="B157" s="20"/>
      <x:c r="C157" s="20"/>
      <x:c r="D157" s="20"/>
      <x:c r="E157" s="20"/>
      <x:c r="F157" s="20"/>
      <x:c r="G157" s="20"/>
      <x:c r="H157" s="20"/>
      <x:c r="I157" s="23"/>
      <x:c r="J157" s="23"/>
      <x:c r="K157" s="20"/>
      <x:c r="L157" s="20"/>
      <x:c r="M157" s="20"/>
      <x:c r="N157" s="20"/>
      <x:c r="O157" s="20"/>
      <x:c r="P157" s="20"/>
      <x:c r="Q157" s="20"/>
      <x:c r="R157" s="20"/>
      <x:c r="S157" s="23"/>
      <x:c r="T157" s="20"/>
      <x:c r="U157" s="23"/>
      <x:c r="V157" s="20" t="str">
        <x:f>IF(A157="","",TODAY()-I157)</x:f>
      </x:c>
      <x:c r="W157" s="20" t="str">
        <x:f>IF(A157="","",IF(AND(G157&lt;&gt;"Closed",G157&lt;&gt;"Accepted Risk",J157&lt;TODAY()),"YES","NO"))</x:f>
      </x:c>
    </x:row>
    <x:row r="158">
      <x:c r="A158" s="20"/>
      <x:c r="B158" s="20"/>
      <x:c r="C158" s="20"/>
      <x:c r="D158" s="20"/>
      <x:c r="E158" s="20"/>
      <x:c r="F158" s="20"/>
      <x:c r="G158" s="20"/>
      <x:c r="H158" s="20"/>
      <x:c r="I158" s="23"/>
      <x:c r="J158" s="23"/>
      <x:c r="K158" s="20"/>
      <x:c r="L158" s="20"/>
      <x:c r="M158" s="20"/>
      <x:c r="N158" s="20"/>
      <x:c r="O158" s="20"/>
      <x:c r="P158" s="20"/>
      <x:c r="Q158" s="20"/>
      <x:c r="R158" s="20"/>
      <x:c r="S158" s="23"/>
      <x:c r="T158" s="20"/>
      <x:c r="U158" s="23"/>
      <x:c r="V158" s="20" t="str">
        <x:f>IF(A158="","",TODAY()-I158)</x:f>
      </x:c>
      <x:c r="W158" s="20" t="str">
        <x:f>IF(A158="","",IF(AND(G158&lt;&gt;"Closed",G158&lt;&gt;"Accepted Risk",J158&lt;TODAY()),"YES","NO"))</x:f>
      </x:c>
    </x:row>
    <x:row r="159">
      <x:c r="A159" s="20"/>
      <x:c r="B159" s="20"/>
      <x:c r="C159" s="20"/>
      <x:c r="D159" s="20"/>
      <x:c r="E159" s="20"/>
      <x:c r="F159" s="20"/>
      <x:c r="G159" s="20"/>
      <x:c r="H159" s="20"/>
      <x:c r="I159" s="23"/>
      <x:c r="J159" s="23"/>
      <x:c r="K159" s="20"/>
      <x:c r="L159" s="20"/>
      <x:c r="M159" s="20"/>
      <x:c r="N159" s="20"/>
      <x:c r="O159" s="20"/>
      <x:c r="P159" s="20"/>
      <x:c r="Q159" s="20"/>
      <x:c r="R159" s="20"/>
      <x:c r="S159" s="23"/>
      <x:c r="T159" s="20"/>
      <x:c r="U159" s="23"/>
      <x:c r="V159" s="20" t="str">
        <x:f>IF(A159="","",TODAY()-I159)</x:f>
      </x:c>
      <x:c r="W159" s="20" t="str">
        <x:f>IF(A159="","",IF(AND(G159&lt;&gt;"Closed",G159&lt;&gt;"Accepted Risk",J159&lt;TODAY()),"YES","NO"))</x:f>
      </x:c>
    </x:row>
    <x:row r="160">
      <x:c r="A160" s="20"/>
      <x:c r="B160" s="20"/>
      <x:c r="C160" s="20"/>
      <x:c r="D160" s="20"/>
      <x:c r="E160" s="20"/>
      <x:c r="F160" s="20"/>
      <x:c r="G160" s="20"/>
      <x:c r="H160" s="20"/>
      <x:c r="I160" s="23"/>
      <x:c r="J160" s="23"/>
      <x:c r="K160" s="20"/>
      <x:c r="L160" s="20"/>
      <x:c r="M160" s="20"/>
      <x:c r="N160" s="20"/>
      <x:c r="O160" s="20"/>
      <x:c r="P160" s="20"/>
      <x:c r="Q160" s="20"/>
      <x:c r="R160" s="20"/>
      <x:c r="S160" s="23"/>
      <x:c r="T160" s="20"/>
      <x:c r="U160" s="23"/>
      <x:c r="V160" s="20" t="str">
        <x:f>IF(A160="","",TODAY()-I160)</x:f>
      </x:c>
      <x:c r="W160" s="20" t="str">
        <x:f>IF(A160="","",IF(AND(G160&lt;&gt;"Closed",G160&lt;&gt;"Accepted Risk",J160&lt;TODAY()),"YES","NO"))</x:f>
      </x:c>
    </x:row>
    <x:row r="161">
      <x:c r="A161" s="20"/>
      <x:c r="B161" s="20"/>
      <x:c r="C161" s="20"/>
      <x:c r="D161" s="20"/>
      <x:c r="E161" s="20"/>
      <x:c r="F161" s="20"/>
      <x:c r="G161" s="20"/>
      <x:c r="H161" s="20"/>
      <x:c r="I161" s="23"/>
      <x:c r="J161" s="23"/>
      <x:c r="K161" s="20"/>
      <x:c r="L161" s="20"/>
      <x:c r="M161" s="20"/>
      <x:c r="N161" s="20"/>
      <x:c r="O161" s="20"/>
      <x:c r="P161" s="20"/>
      <x:c r="Q161" s="20"/>
      <x:c r="R161" s="20"/>
      <x:c r="S161" s="23"/>
      <x:c r="T161" s="20"/>
      <x:c r="U161" s="23"/>
      <x:c r="V161" s="20" t="str">
        <x:f>IF(A161="","",TODAY()-I161)</x:f>
      </x:c>
      <x:c r="W161" s="20" t="str">
        <x:f>IF(A161="","",IF(AND(G161&lt;&gt;"Closed",G161&lt;&gt;"Accepted Risk",J161&lt;TODAY()),"YES","NO"))</x:f>
      </x:c>
    </x:row>
    <x:row r="162">
      <x:c r="A162" s="20"/>
      <x:c r="B162" s="20"/>
      <x:c r="C162" s="20"/>
      <x:c r="D162" s="20"/>
      <x:c r="E162" s="20"/>
      <x:c r="F162" s="20"/>
      <x:c r="G162" s="20"/>
      <x:c r="H162" s="20"/>
      <x:c r="I162" s="23"/>
      <x:c r="J162" s="23"/>
      <x:c r="K162" s="20"/>
      <x:c r="L162" s="20"/>
      <x:c r="M162" s="20"/>
      <x:c r="N162" s="20"/>
      <x:c r="O162" s="20"/>
      <x:c r="P162" s="20"/>
      <x:c r="Q162" s="20"/>
      <x:c r="R162" s="20"/>
      <x:c r="S162" s="23"/>
      <x:c r="T162" s="20"/>
      <x:c r="U162" s="23"/>
      <x:c r="V162" s="20" t="str">
        <x:f>IF(A162="","",TODAY()-I162)</x:f>
      </x:c>
      <x:c r="W162" s="20" t="str">
        <x:f>IF(A162="","",IF(AND(G162&lt;&gt;"Closed",G162&lt;&gt;"Accepted Risk",J162&lt;TODAY()),"YES","NO"))</x:f>
      </x:c>
    </x:row>
    <x:row r="163">
      <x:c r="A163" s="20"/>
      <x:c r="B163" s="20"/>
      <x:c r="C163" s="20"/>
      <x:c r="D163" s="20"/>
      <x:c r="E163" s="20"/>
      <x:c r="F163" s="20"/>
      <x:c r="G163" s="20"/>
      <x:c r="H163" s="20"/>
      <x:c r="I163" s="23"/>
      <x:c r="J163" s="23"/>
      <x:c r="K163" s="20"/>
      <x:c r="L163" s="20"/>
      <x:c r="M163" s="20"/>
      <x:c r="N163" s="20"/>
      <x:c r="O163" s="20"/>
      <x:c r="P163" s="20"/>
      <x:c r="Q163" s="20"/>
      <x:c r="R163" s="20"/>
      <x:c r="S163" s="23"/>
      <x:c r="T163" s="20"/>
      <x:c r="U163" s="23"/>
      <x:c r="V163" s="20" t="str">
        <x:f>IF(A163="","",TODAY()-I163)</x:f>
      </x:c>
      <x:c r="W163" s="20" t="str">
        <x:f>IF(A163="","",IF(AND(G163&lt;&gt;"Closed",G163&lt;&gt;"Accepted Risk",J163&lt;TODAY()),"YES","NO"))</x:f>
      </x:c>
    </x:row>
    <x:row r="164">
      <x:c r="A164" s="20"/>
      <x:c r="B164" s="20"/>
      <x:c r="C164" s="20"/>
      <x:c r="D164" s="20"/>
      <x:c r="E164" s="20"/>
      <x:c r="F164" s="20"/>
      <x:c r="G164" s="20"/>
      <x:c r="H164" s="20"/>
      <x:c r="I164" s="23"/>
      <x:c r="J164" s="23"/>
      <x:c r="K164" s="20"/>
      <x:c r="L164" s="20"/>
      <x:c r="M164" s="20"/>
      <x:c r="N164" s="20"/>
      <x:c r="O164" s="20"/>
      <x:c r="P164" s="20"/>
      <x:c r="Q164" s="20"/>
      <x:c r="R164" s="20"/>
      <x:c r="S164" s="23"/>
      <x:c r="T164" s="20"/>
      <x:c r="U164" s="23"/>
      <x:c r="V164" s="20" t="str">
        <x:f>IF(A164="","",TODAY()-I164)</x:f>
      </x:c>
      <x:c r="W164" s="20" t="str">
        <x:f>IF(A164="","",IF(AND(G164&lt;&gt;"Closed",G164&lt;&gt;"Accepted Risk",J164&lt;TODAY()),"YES","NO"))</x:f>
      </x:c>
    </x:row>
    <x:row r="165">
      <x:c r="A165" s="20"/>
      <x:c r="B165" s="20"/>
      <x:c r="C165" s="20"/>
      <x:c r="D165" s="20"/>
      <x:c r="E165" s="20"/>
      <x:c r="F165" s="20"/>
      <x:c r="G165" s="20"/>
      <x:c r="H165" s="20"/>
      <x:c r="I165" s="23"/>
      <x:c r="J165" s="23"/>
      <x:c r="K165" s="20"/>
      <x:c r="L165" s="20"/>
      <x:c r="M165" s="20"/>
      <x:c r="N165" s="20"/>
      <x:c r="O165" s="20"/>
      <x:c r="P165" s="20"/>
      <x:c r="Q165" s="20"/>
      <x:c r="R165" s="20"/>
      <x:c r="S165" s="23"/>
      <x:c r="T165" s="20"/>
      <x:c r="U165" s="23"/>
      <x:c r="V165" s="20" t="str">
        <x:f>IF(A165="","",TODAY()-I165)</x:f>
      </x:c>
      <x:c r="W165" s="20" t="str">
        <x:f>IF(A165="","",IF(AND(G165&lt;&gt;"Closed",G165&lt;&gt;"Accepted Risk",J165&lt;TODAY()),"YES","NO"))</x:f>
      </x:c>
    </x:row>
    <x:row r="166">
      <x:c r="A166" s="20"/>
      <x:c r="B166" s="20"/>
      <x:c r="C166" s="20"/>
      <x:c r="D166" s="20"/>
      <x:c r="E166" s="20"/>
      <x:c r="F166" s="20"/>
      <x:c r="G166" s="20"/>
      <x:c r="H166" s="20"/>
      <x:c r="I166" s="23"/>
      <x:c r="J166" s="23"/>
      <x:c r="K166" s="20"/>
      <x:c r="L166" s="20"/>
      <x:c r="M166" s="20"/>
      <x:c r="N166" s="20"/>
      <x:c r="O166" s="20"/>
      <x:c r="P166" s="20"/>
      <x:c r="Q166" s="20"/>
      <x:c r="R166" s="20"/>
      <x:c r="S166" s="23"/>
      <x:c r="T166" s="20"/>
      <x:c r="U166" s="23"/>
      <x:c r="V166" s="20" t="str">
        <x:f>IF(A166="","",TODAY()-I166)</x:f>
      </x:c>
      <x:c r="W166" s="20" t="str">
        <x:f>IF(A166="","",IF(AND(G166&lt;&gt;"Closed",G166&lt;&gt;"Accepted Risk",J166&lt;TODAY()),"YES","NO"))</x:f>
      </x:c>
    </x:row>
    <x:row r="167">
      <x:c r="A167" s="20"/>
      <x:c r="B167" s="20"/>
      <x:c r="C167" s="20"/>
      <x:c r="D167" s="20"/>
      <x:c r="E167" s="20"/>
      <x:c r="F167" s="20"/>
      <x:c r="G167" s="20"/>
      <x:c r="H167" s="20"/>
      <x:c r="I167" s="23"/>
      <x:c r="J167" s="23"/>
      <x:c r="K167" s="20"/>
      <x:c r="L167" s="20"/>
      <x:c r="M167" s="20"/>
      <x:c r="N167" s="20"/>
      <x:c r="O167" s="20"/>
      <x:c r="P167" s="20"/>
      <x:c r="Q167" s="20"/>
      <x:c r="R167" s="20"/>
      <x:c r="S167" s="23"/>
      <x:c r="T167" s="20"/>
      <x:c r="U167" s="23"/>
      <x:c r="V167" s="20" t="str">
        <x:f>IF(A167="","",TODAY()-I167)</x:f>
      </x:c>
      <x:c r="W167" s="20" t="str">
        <x:f>IF(A167="","",IF(AND(G167&lt;&gt;"Closed",G167&lt;&gt;"Accepted Risk",J167&lt;TODAY()),"YES","NO"))</x:f>
      </x:c>
    </x:row>
    <x:row r="168">
      <x:c r="A168" s="20"/>
      <x:c r="B168" s="20"/>
      <x:c r="C168" s="20"/>
      <x:c r="D168" s="20"/>
      <x:c r="E168" s="20"/>
      <x:c r="F168" s="20"/>
      <x:c r="G168" s="20"/>
      <x:c r="H168" s="20"/>
      <x:c r="I168" s="23"/>
      <x:c r="J168" s="23"/>
      <x:c r="K168" s="20"/>
      <x:c r="L168" s="20"/>
      <x:c r="M168" s="20"/>
      <x:c r="N168" s="20"/>
      <x:c r="O168" s="20"/>
      <x:c r="P168" s="20"/>
      <x:c r="Q168" s="20"/>
      <x:c r="R168" s="20"/>
      <x:c r="S168" s="23"/>
      <x:c r="T168" s="20"/>
      <x:c r="U168" s="23"/>
      <x:c r="V168" s="20" t="str">
        <x:f>IF(A168="","",TODAY()-I168)</x:f>
      </x:c>
      <x:c r="W168" s="20" t="str">
        <x:f>IF(A168="","",IF(AND(G168&lt;&gt;"Closed",G168&lt;&gt;"Accepted Risk",J168&lt;TODAY()),"YES","NO"))</x:f>
      </x:c>
    </x:row>
    <x:row r="169">
      <x:c r="A169" s="20"/>
      <x:c r="B169" s="20"/>
      <x:c r="C169" s="20"/>
      <x:c r="D169" s="20"/>
      <x:c r="E169" s="20"/>
      <x:c r="F169" s="20"/>
      <x:c r="G169" s="20"/>
      <x:c r="H169" s="20"/>
      <x:c r="I169" s="23"/>
      <x:c r="J169" s="23"/>
      <x:c r="K169" s="20"/>
      <x:c r="L169" s="20"/>
      <x:c r="M169" s="20"/>
      <x:c r="N169" s="20"/>
      <x:c r="O169" s="20"/>
      <x:c r="P169" s="20"/>
      <x:c r="Q169" s="20"/>
      <x:c r="R169" s="20"/>
      <x:c r="S169" s="23"/>
      <x:c r="T169" s="20"/>
      <x:c r="U169" s="23"/>
      <x:c r="V169" s="20" t="str">
        <x:f>IF(A169="","",TODAY()-I169)</x:f>
      </x:c>
      <x:c r="W169" s="20" t="str">
        <x:f>IF(A169="","",IF(AND(G169&lt;&gt;"Closed",G169&lt;&gt;"Accepted Risk",J169&lt;TODAY()),"YES","NO"))</x:f>
      </x:c>
    </x:row>
    <x:row r="170">
      <x:c r="A170" s="20"/>
      <x:c r="B170" s="20"/>
      <x:c r="C170" s="20"/>
      <x:c r="D170" s="20"/>
      <x:c r="E170" s="20"/>
      <x:c r="F170" s="20"/>
      <x:c r="G170" s="20"/>
      <x:c r="H170" s="20"/>
      <x:c r="I170" s="23"/>
      <x:c r="J170" s="23"/>
      <x:c r="K170" s="20"/>
      <x:c r="L170" s="20"/>
      <x:c r="M170" s="20"/>
      <x:c r="N170" s="20"/>
      <x:c r="O170" s="20"/>
      <x:c r="P170" s="20"/>
      <x:c r="Q170" s="20"/>
      <x:c r="R170" s="20"/>
      <x:c r="S170" s="23"/>
      <x:c r="T170" s="20"/>
      <x:c r="U170" s="23"/>
      <x:c r="V170" s="20" t="str">
        <x:f>IF(A170="","",TODAY()-I170)</x:f>
      </x:c>
      <x:c r="W170" s="20" t="str">
        <x:f>IF(A170="","",IF(AND(G170&lt;&gt;"Closed",G170&lt;&gt;"Accepted Risk",J170&lt;TODAY()),"YES","NO"))</x:f>
      </x:c>
    </x:row>
    <x:row r="171">
      <x:c r="A171" s="20"/>
      <x:c r="B171" s="20"/>
      <x:c r="C171" s="20"/>
      <x:c r="D171" s="20"/>
      <x:c r="E171" s="20"/>
      <x:c r="F171" s="20"/>
      <x:c r="G171" s="20"/>
      <x:c r="H171" s="20"/>
      <x:c r="I171" s="23"/>
      <x:c r="J171" s="23"/>
      <x:c r="K171" s="20"/>
      <x:c r="L171" s="20"/>
      <x:c r="M171" s="20"/>
      <x:c r="N171" s="20"/>
      <x:c r="O171" s="20"/>
      <x:c r="P171" s="20"/>
      <x:c r="Q171" s="20"/>
      <x:c r="R171" s="20"/>
      <x:c r="S171" s="23"/>
      <x:c r="T171" s="20"/>
      <x:c r="U171" s="23"/>
      <x:c r="V171" s="20" t="str">
        <x:f>IF(A171="","",TODAY()-I171)</x:f>
      </x:c>
      <x:c r="W171" s="20" t="str">
        <x:f>IF(A171="","",IF(AND(G171&lt;&gt;"Closed",G171&lt;&gt;"Accepted Risk",J171&lt;TODAY()),"YES","NO"))</x:f>
      </x:c>
    </x:row>
    <x:row r="172">
      <x:c r="A172" s="20"/>
      <x:c r="B172" s="20"/>
      <x:c r="C172" s="20"/>
      <x:c r="D172" s="20"/>
      <x:c r="E172" s="20"/>
      <x:c r="F172" s="20"/>
      <x:c r="G172" s="20"/>
      <x:c r="H172" s="20"/>
      <x:c r="I172" s="23"/>
      <x:c r="J172" s="23"/>
      <x:c r="K172" s="20"/>
      <x:c r="L172" s="20"/>
      <x:c r="M172" s="20"/>
      <x:c r="N172" s="20"/>
      <x:c r="O172" s="20"/>
      <x:c r="P172" s="20"/>
      <x:c r="Q172" s="20"/>
      <x:c r="R172" s="20"/>
      <x:c r="S172" s="23"/>
      <x:c r="T172" s="20"/>
      <x:c r="U172" s="23"/>
      <x:c r="V172" s="20" t="str">
        <x:f>IF(A172="","",TODAY()-I172)</x:f>
      </x:c>
      <x:c r="W172" s="20" t="str">
        <x:f>IF(A172="","",IF(AND(G172&lt;&gt;"Closed",G172&lt;&gt;"Accepted Risk",J172&lt;TODAY()),"YES","NO"))</x:f>
      </x:c>
    </x:row>
    <x:row r="173">
      <x:c r="A173" s="20"/>
      <x:c r="B173" s="20"/>
      <x:c r="C173" s="20"/>
      <x:c r="D173" s="20"/>
      <x:c r="E173" s="20"/>
      <x:c r="F173" s="20"/>
      <x:c r="G173" s="20"/>
      <x:c r="H173" s="20"/>
      <x:c r="I173" s="23"/>
      <x:c r="J173" s="23"/>
      <x:c r="K173" s="20"/>
      <x:c r="L173" s="20"/>
      <x:c r="M173" s="20"/>
      <x:c r="N173" s="20"/>
      <x:c r="O173" s="20"/>
      <x:c r="P173" s="20"/>
      <x:c r="Q173" s="20"/>
      <x:c r="R173" s="20"/>
      <x:c r="S173" s="23"/>
      <x:c r="T173" s="20"/>
      <x:c r="U173" s="23"/>
      <x:c r="V173" s="20" t="str">
        <x:f>IF(A173="","",TODAY()-I173)</x:f>
      </x:c>
      <x:c r="W173" s="20" t="str">
        <x:f>IF(A173="","",IF(AND(G173&lt;&gt;"Closed",G173&lt;&gt;"Accepted Risk",J173&lt;TODAY()),"YES","NO"))</x:f>
      </x:c>
    </x:row>
    <x:row r="174">
      <x:c r="A174" s="20"/>
      <x:c r="B174" s="20"/>
      <x:c r="C174" s="20"/>
      <x:c r="D174" s="20"/>
      <x:c r="E174" s="20"/>
      <x:c r="F174" s="20"/>
      <x:c r="G174" s="20"/>
      <x:c r="H174" s="20"/>
      <x:c r="I174" s="23"/>
      <x:c r="J174" s="23"/>
      <x:c r="K174" s="20"/>
      <x:c r="L174" s="20"/>
      <x:c r="M174" s="20"/>
      <x:c r="N174" s="20"/>
      <x:c r="O174" s="20"/>
      <x:c r="P174" s="20"/>
      <x:c r="Q174" s="20"/>
      <x:c r="R174" s="20"/>
      <x:c r="S174" s="23"/>
      <x:c r="T174" s="20"/>
      <x:c r="U174" s="23"/>
      <x:c r="V174" s="20" t="str">
        <x:f>IF(A174="","",TODAY()-I174)</x:f>
      </x:c>
      <x:c r="W174" s="20" t="str">
        <x:f>IF(A174="","",IF(AND(G174&lt;&gt;"Closed",G174&lt;&gt;"Accepted Risk",J174&lt;TODAY()),"YES","NO"))</x:f>
      </x:c>
    </x:row>
    <x:row r="175">
      <x:c r="A175" s="20"/>
      <x:c r="B175" s="20"/>
      <x:c r="C175" s="20"/>
      <x:c r="D175" s="20"/>
      <x:c r="E175" s="20"/>
      <x:c r="F175" s="20"/>
      <x:c r="G175" s="20"/>
      <x:c r="H175" s="20"/>
      <x:c r="I175" s="23"/>
      <x:c r="J175" s="23"/>
      <x:c r="K175" s="20"/>
      <x:c r="L175" s="20"/>
      <x:c r="M175" s="20"/>
      <x:c r="N175" s="20"/>
      <x:c r="O175" s="20"/>
      <x:c r="P175" s="20"/>
      <x:c r="Q175" s="20"/>
      <x:c r="R175" s="20"/>
      <x:c r="S175" s="23"/>
      <x:c r="T175" s="20"/>
      <x:c r="U175" s="23"/>
      <x:c r="V175" s="20" t="str">
        <x:f>IF(A175="","",TODAY()-I175)</x:f>
      </x:c>
      <x:c r="W175" s="20" t="str">
        <x:f>IF(A175="","",IF(AND(G175&lt;&gt;"Closed",G175&lt;&gt;"Accepted Risk",J175&lt;TODAY()),"YES","NO"))</x:f>
      </x:c>
    </x:row>
    <x:row r="176">
      <x:c r="A176" s="20"/>
      <x:c r="B176" s="20"/>
      <x:c r="C176" s="20"/>
      <x:c r="D176" s="20"/>
      <x:c r="E176" s="20"/>
      <x:c r="F176" s="20"/>
      <x:c r="G176" s="20"/>
      <x:c r="H176" s="20"/>
      <x:c r="I176" s="23"/>
      <x:c r="J176" s="23"/>
      <x:c r="K176" s="20"/>
      <x:c r="L176" s="20"/>
      <x:c r="M176" s="20"/>
      <x:c r="N176" s="20"/>
      <x:c r="O176" s="20"/>
      <x:c r="P176" s="20"/>
      <x:c r="Q176" s="20"/>
      <x:c r="R176" s="20"/>
      <x:c r="S176" s="23"/>
      <x:c r="T176" s="20"/>
      <x:c r="U176" s="23"/>
      <x:c r="V176" s="20" t="str">
        <x:f>IF(A176="","",TODAY()-I176)</x:f>
      </x:c>
      <x:c r="W176" s="20" t="str">
        <x:f>IF(A176="","",IF(AND(G176&lt;&gt;"Closed",G176&lt;&gt;"Accepted Risk",J176&lt;TODAY()),"YES","NO"))</x:f>
      </x:c>
    </x:row>
    <x:row r="177">
      <x:c r="A177" s="20"/>
      <x:c r="B177" s="20"/>
      <x:c r="C177" s="20"/>
      <x:c r="D177" s="20"/>
      <x:c r="E177" s="20"/>
      <x:c r="F177" s="20"/>
      <x:c r="G177" s="20"/>
      <x:c r="H177" s="20"/>
      <x:c r="I177" s="23"/>
      <x:c r="J177" s="23"/>
      <x:c r="K177" s="20"/>
      <x:c r="L177" s="20"/>
      <x:c r="M177" s="20"/>
      <x:c r="N177" s="20"/>
      <x:c r="O177" s="20"/>
      <x:c r="P177" s="20"/>
      <x:c r="Q177" s="20"/>
      <x:c r="R177" s="20"/>
      <x:c r="S177" s="23"/>
      <x:c r="T177" s="20"/>
      <x:c r="U177" s="23"/>
      <x:c r="V177" s="20" t="str">
        <x:f>IF(A177="","",TODAY()-I177)</x:f>
      </x:c>
      <x:c r="W177" s="20" t="str">
        <x:f>IF(A177="","",IF(AND(G177&lt;&gt;"Closed",G177&lt;&gt;"Accepted Risk",J177&lt;TODAY()),"YES","NO"))</x:f>
      </x:c>
    </x:row>
    <x:row r="178">
      <x:c r="A178" s="20"/>
      <x:c r="B178" s="20"/>
      <x:c r="C178" s="20"/>
      <x:c r="D178" s="20"/>
      <x:c r="E178" s="20"/>
      <x:c r="F178" s="20"/>
      <x:c r="G178" s="20"/>
      <x:c r="H178" s="20"/>
      <x:c r="I178" s="23"/>
      <x:c r="J178" s="23"/>
      <x:c r="K178" s="20"/>
      <x:c r="L178" s="20"/>
      <x:c r="M178" s="20"/>
      <x:c r="N178" s="20"/>
      <x:c r="O178" s="20"/>
      <x:c r="P178" s="20"/>
      <x:c r="Q178" s="20"/>
      <x:c r="R178" s="20"/>
      <x:c r="S178" s="23"/>
      <x:c r="T178" s="20"/>
      <x:c r="U178" s="23"/>
      <x:c r="V178" s="20" t="str">
        <x:f>IF(A178="","",TODAY()-I178)</x:f>
      </x:c>
      <x:c r="W178" s="20" t="str">
        <x:f>IF(A178="","",IF(AND(G178&lt;&gt;"Closed",G178&lt;&gt;"Accepted Risk",J178&lt;TODAY()),"YES","NO"))</x:f>
      </x:c>
    </x:row>
    <x:row r="179">
      <x:c r="A179" s="20"/>
      <x:c r="B179" s="20"/>
      <x:c r="C179" s="20"/>
      <x:c r="D179" s="20"/>
      <x:c r="E179" s="20"/>
      <x:c r="F179" s="20"/>
      <x:c r="G179" s="20"/>
      <x:c r="H179" s="20"/>
      <x:c r="I179" s="23"/>
      <x:c r="J179" s="23"/>
      <x:c r="K179" s="20"/>
      <x:c r="L179" s="20"/>
      <x:c r="M179" s="20"/>
      <x:c r="N179" s="20"/>
      <x:c r="O179" s="20"/>
      <x:c r="P179" s="20"/>
      <x:c r="Q179" s="20"/>
      <x:c r="R179" s="20"/>
      <x:c r="S179" s="23"/>
      <x:c r="T179" s="20"/>
      <x:c r="U179" s="23"/>
      <x:c r="V179" s="20" t="str">
        <x:f>IF(A179="","",TODAY()-I179)</x:f>
      </x:c>
      <x:c r="W179" s="20" t="str">
        <x:f>IF(A179="","",IF(AND(G179&lt;&gt;"Closed",G179&lt;&gt;"Accepted Risk",J179&lt;TODAY()),"YES","NO"))</x:f>
      </x:c>
    </x:row>
    <x:row r="180">
      <x:c r="A180" s="20"/>
      <x:c r="B180" s="20"/>
      <x:c r="C180" s="20"/>
      <x:c r="D180" s="20"/>
      <x:c r="E180" s="20"/>
      <x:c r="F180" s="20"/>
      <x:c r="G180" s="20"/>
      <x:c r="H180" s="20"/>
      <x:c r="I180" s="23"/>
      <x:c r="J180" s="23"/>
      <x:c r="K180" s="20"/>
      <x:c r="L180" s="20"/>
      <x:c r="M180" s="20"/>
      <x:c r="N180" s="20"/>
      <x:c r="O180" s="20"/>
      <x:c r="P180" s="20"/>
      <x:c r="Q180" s="20"/>
      <x:c r="R180" s="20"/>
      <x:c r="S180" s="23"/>
      <x:c r="T180" s="20"/>
      <x:c r="U180" s="23"/>
      <x:c r="V180" s="20" t="str">
        <x:f>IF(A180="","",TODAY()-I180)</x:f>
      </x:c>
      <x:c r="W180" s="20" t="str">
        <x:f>IF(A180="","",IF(AND(G180&lt;&gt;"Closed",G180&lt;&gt;"Accepted Risk",J180&lt;TODAY()),"YES","NO"))</x:f>
      </x:c>
    </x:row>
    <x:row r="181">
      <x:c r="A181" s="20"/>
      <x:c r="B181" s="20"/>
      <x:c r="C181" s="20"/>
      <x:c r="D181" s="20"/>
      <x:c r="E181" s="20"/>
      <x:c r="F181" s="20"/>
      <x:c r="G181" s="20"/>
      <x:c r="H181" s="20"/>
      <x:c r="I181" s="23"/>
      <x:c r="J181" s="23"/>
      <x:c r="K181" s="20"/>
      <x:c r="L181" s="20"/>
      <x:c r="M181" s="20"/>
      <x:c r="N181" s="20"/>
      <x:c r="O181" s="20"/>
      <x:c r="P181" s="20"/>
      <x:c r="Q181" s="20"/>
      <x:c r="R181" s="20"/>
      <x:c r="S181" s="23"/>
      <x:c r="T181" s="20"/>
      <x:c r="U181" s="23"/>
      <x:c r="V181" s="20" t="str">
        <x:f>IF(A181="","",TODAY()-I181)</x:f>
      </x:c>
      <x:c r="W181" s="20" t="str">
        <x:f>IF(A181="","",IF(AND(G181&lt;&gt;"Closed",G181&lt;&gt;"Accepted Risk",J181&lt;TODAY()),"YES","NO"))</x:f>
      </x:c>
    </x:row>
    <x:row r="182">
      <x:c r="A182" s="20"/>
      <x:c r="B182" s="20"/>
      <x:c r="C182" s="20"/>
      <x:c r="D182" s="20"/>
      <x:c r="E182" s="20"/>
      <x:c r="F182" s="20"/>
      <x:c r="G182" s="20"/>
      <x:c r="H182" s="20"/>
      <x:c r="I182" s="23"/>
      <x:c r="J182" s="23"/>
      <x:c r="K182" s="20"/>
      <x:c r="L182" s="20"/>
      <x:c r="M182" s="20"/>
      <x:c r="N182" s="20"/>
      <x:c r="O182" s="20"/>
      <x:c r="P182" s="20"/>
      <x:c r="Q182" s="20"/>
      <x:c r="R182" s="20"/>
      <x:c r="S182" s="23"/>
      <x:c r="T182" s="20"/>
      <x:c r="U182" s="23"/>
      <x:c r="V182" s="20" t="str">
        <x:f>IF(A182="","",TODAY()-I182)</x:f>
      </x:c>
      <x:c r="W182" s="20" t="str">
        <x:f>IF(A182="","",IF(AND(G182&lt;&gt;"Closed",G182&lt;&gt;"Accepted Risk",J182&lt;TODAY()),"YES","NO"))</x:f>
      </x:c>
    </x:row>
    <x:row r="183">
      <x:c r="A183" s="20"/>
      <x:c r="B183" s="20"/>
      <x:c r="C183" s="20"/>
      <x:c r="D183" s="20"/>
      <x:c r="E183" s="20"/>
      <x:c r="F183" s="20"/>
      <x:c r="G183" s="20"/>
      <x:c r="H183" s="20"/>
      <x:c r="I183" s="23"/>
      <x:c r="J183" s="23"/>
      <x:c r="K183" s="20"/>
      <x:c r="L183" s="20"/>
      <x:c r="M183" s="20"/>
      <x:c r="N183" s="20"/>
      <x:c r="O183" s="20"/>
      <x:c r="P183" s="20"/>
      <x:c r="Q183" s="20"/>
      <x:c r="R183" s="20"/>
      <x:c r="S183" s="23"/>
      <x:c r="T183" s="20"/>
      <x:c r="U183" s="23"/>
      <x:c r="V183" s="20" t="str">
        <x:f>IF(A183="","",TODAY()-I183)</x:f>
      </x:c>
      <x:c r="W183" s="20" t="str">
        <x:f>IF(A183="","",IF(AND(G183&lt;&gt;"Closed",G183&lt;&gt;"Accepted Risk",J183&lt;TODAY()),"YES","NO"))</x:f>
      </x:c>
    </x:row>
    <x:row r="184">
      <x:c r="A184" s="20"/>
      <x:c r="B184" s="20"/>
      <x:c r="C184" s="20"/>
      <x:c r="D184" s="20"/>
      <x:c r="E184" s="20"/>
      <x:c r="F184" s="20"/>
      <x:c r="G184" s="20"/>
      <x:c r="H184" s="20"/>
      <x:c r="I184" s="23"/>
      <x:c r="J184" s="23"/>
      <x:c r="K184" s="20"/>
      <x:c r="L184" s="20"/>
      <x:c r="M184" s="20"/>
      <x:c r="N184" s="20"/>
      <x:c r="O184" s="20"/>
      <x:c r="P184" s="20"/>
      <x:c r="Q184" s="20"/>
      <x:c r="R184" s="20"/>
      <x:c r="S184" s="23"/>
      <x:c r="T184" s="20"/>
      <x:c r="U184" s="23"/>
      <x:c r="V184" s="20" t="str">
        <x:f>IF(A184="","",TODAY()-I184)</x:f>
      </x:c>
      <x:c r="W184" s="20" t="str">
        <x:f>IF(A184="","",IF(AND(G184&lt;&gt;"Closed",G184&lt;&gt;"Accepted Risk",J184&lt;TODAY()),"YES","NO"))</x:f>
      </x:c>
    </x:row>
    <x:row r="185">
      <x:c r="A185" s="20"/>
      <x:c r="B185" s="20"/>
      <x:c r="C185" s="20"/>
      <x:c r="D185" s="20"/>
      <x:c r="E185" s="20"/>
      <x:c r="F185" s="20"/>
      <x:c r="G185" s="20"/>
      <x:c r="H185" s="20"/>
      <x:c r="I185" s="23"/>
      <x:c r="J185" s="23"/>
      <x:c r="K185" s="20"/>
      <x:c r="L185" s="20"/>
      <x:c r="M185" s="20"/>
      <x:c r="N185" s="20"/>
      <x:c r="O185" s="20"/>
      <x:c r="P185" s="20"/>
      <x:c r="Q185" s="20"/>
      <x:c r="R185" s="20"/>
      <x:c r="S185" s="23"/>
      <x:c r="T185" s="20"/>
      <x:c r="U185" s="23"/>
      <x:c r="V185" s="20" t="str">
        <x:f>IF(A185="","",TODAY()-I185)</x:f>
      </x:c>
      <x:c r="W185" s="20" t="str">
        <x:f>IF(A185="","",IF(AND(G185&lt;&gt;"Closed",G185&lt;&gt;"Accepted Risk",J185&lt;TODAY()),"YES","NO"))</x:f>
      </x:c>
    </x:row>
    <x:row r="186">
      <x:c r="A186" s="20"/>
      <x:c r="B186" s="20"/>
      <x:c r="C186" s="20"/>
      <x:c r="D186" s="20"/>
      <x:c r="E186" s="20"/>
      <x:c r="F186" s="20"/>
      <x:c r="G186" s="20"/>
      <x:c r="H186" s="20"/>
      <x:c r="I186" s="23"/>
      <x:c r="J186" s="23"/>
      <x:c r="K186" s="20"/>
      <x:c r="L186" s="20"/>
      <x:c r="M186" s="20"/>
      <x:c r="N186" s="20"/>
      <x:c r="O186" s="20"/>
      <x:c r="P186" s="20"/>
      <x:c r="Q186" s="20"/>
      <x:c r="R186" s="20"/>
      <x:c r="S186" s="23"/>
      <x:c r="T186" s="20"/>
      <x:c r="U186" s="23"/>
      <x:c r="V186" s="20" t="str">
        <x:f>IF(A186="","",TODAY()-I186)</x:f>
      </x:c>
      <x:c r="W186" s="20" t="str">
        <x:f>IF(A186="","",IF(AND(G186&lt;&gt;"Closed",G186&lt;&gt;"Accepted Risk",J186&lt;TODAY()),"YES","NO"))</x:f>
      </x:c>
    </x:row>
    <x:row r="187">
      <x:c r="A187" s="20"/>
      <x:c r="B187" s="20"/>
      <x:c r="C187" s="20"/>
      <x:c r="D187" s="20"/>
      <x:c r="E187" s="20"/>
      <x:c r="F187" s="20"/>
      <x:c r="G187" s="20"/>
      <x:c r="H187" s="20"/>
      <x:c r="I187" s="23"/>
      <x:c r="J187" s="23"/>
      <x:c r="K187" s="20"/>
      <x:c r="L187" s="20"/>
      <x:c r="M187" s="20"/>
      <x:c r="N187" s="20"/>
      <x:c r="O187" s="20"/>
      <x:c r="P187" s="20"/>
      <x:c r="Q187" s="20"/>
      <x:c r="R187" s="20"/>
      <x:c r="S187" s="23"/>
      <x:c r="T187" s="20"/>
      <x:c r="U187" s="23"/>
      <x:c r="V187" s="20" t="str">
        <x:f>IF(A187="","",TODAY()-I187)</x:f>
      </x:c>
      <x:c r="W187" s="20" t="str">
        <x:f>IF(A187="","",IF(AND(G187&lt;&gt;"Closed",G187&lt;&gt;"Accepted Risk",J187&lt;TODAY()),"YES","NO"))</x:f>
      </x:c>
    </x:row>
    <x:row r="188">
      <x:c r="A188" s="20"/>
      <x:c r="B188" s="20"/>
      <x:c r="C188" s="20"/>
      <x:c r="D188" s="20"/>
      <x:c r="E188" s="20"/>
      <x:c r="F188" s="20"/>
      <x:c r="G188" s="20"/>
      <x:c r="H188" s="20"/>
      <x:c r="I188" s="23"/>
      <x:c r="J188" s="23"/>
      <x:c r="K188" s="20"/>
      <x:c r="L188" s="20"/>
      <x:c r="M188" s="20"/>
      <x:c r="N188" s="20"/>
      <x:c r="O188" s="20"/>
      <x:c r="P188" s="20"/>
      <x:c r="Q188" s="20"/>
      <x:c r="R188" s="20"/>
      <x:c r="S188" s="23"/>
      <x:c r="T188" s="20"/>
      <x:c r="U188" s="23"/>
      <x:c r="V188" s="20" t="str">
        <x:f>IF(A188="","",TODAY()-I188)</x:f>
      </x:c>
      <x:c r="W188" s="20" t="str">
        <x:f>IF(A188="","",IF(AND(G188&lt;&gt;"Closed",G188&lt;&gt;"Accepted Risk",J188&lt;TODAY()),"YES","NO"))</x:f>
      </x:c>
    </x:row>
    <x:row r="189">
      <x:c r="A189" s="20"/>
      <x:c r="B189" s="20"/>
      <x:c r="C189" s="20"/>
      <x:c r="D189" s="20"/>
      <x:c r="E189" s="20"/>
      <x:c r="F189" s="20"/>
      <x:c r="G189" s="20"/>
      <x:c r="H189" s="20"/>
      <x:c r="I189" s="23"/>
      <x:c r="J189" s="23"/>
      <x:c r="K189" s="20"/>
      <x:c r="L189" s="20"/>
      <x:c r="M189" s="20"/>
      <x:c r="N189" s="20"/>
      <x:c r="O189" s="20"/>
      <x:c r="P189" s="20"/>
      <x:c r="Q189" s="20"/>
      <x:c r="R189" s="20"/>
      <x:c r="S189" s="23"/>
      <x:c r="T189" s="20"/>
      <x:c r="U189" s="23"/>
      <x:c r="V189" s="20" t="str">
        <x:f>IF(A189="","",TODAY()-I189)</x:f>
      </x:c>
      <x:c r="W189" s="20" t="str">
        <x:f>IF(A189="","",IF(AND(G189&lt;&gt;"Closed",G189&lt;&gt;"Accepted Risk",J189&lt;TODAY()),"YES","NO"))</x:f>
      </x:c>
    </x:row>
    <x:row r="190">
      <x:c r="A190" s="20"/>
      <x:c r="B190" s="20"/>
      <x:c r="C190" s="20"/>
      <x:c r="D190" s="20"/>
      <x:c r="E190" s="20"/>
      <x:c r="F190" s="20"/>
      <x:c r="G190" s="20"/>
      <x:c r="H190" s="20"/>
      <x:c r="I190" s="23"/>
      <x:c r="J190" s="23"/>
      <x:c r="K190" s="20"/>
      <x:c r="L190" s="20"/>
      <x:c r="M190" s="20"/>
      <x:c r="N190" s="20"/>
      <x:c r="O190" s="20"/>
      <x:c r="P190" s="20"/>
      <x:c r="Q190" s="20"/>
      <x:c r="R190" s="20"/>
      <x:c r="S190" s="23"/>
      <x:c r="T190" s="20"/>
      <x:c r="U190" s="23"/>
      <x:c r="V190" s="20" t="str">
        <x:f>IF(A190="","",TODAY()-I190)</x:f>
      </x:c>
      <x:c r="W190" s="20" t="str">
        <x:f>IF(A190="","",IF(AND(G190&lt;&gt;"Closed",G190&lt;&gt;"Accepted Risk",J190&lt;TODAY()),"YES","NO"))</x:f>
      </x:c>
    </x:row>
    <x:row r="191">
      <x:c r="A191" s="20"/>
      <x:c r="B191" s="20"/>
      <x:c r="C191" s="20"/>
      <x:c r="D191" s="20"/>
      <x:c r="E191" s="20"/>
      <x:c r="F191" s="20"/>
      <x:c r="G191" s="20"/>
      <x:c r="H191" s="20"/>
      <x:c r="I191" s="23"/>
      <x:c r="J191" s="23"/>
      <x:c r="K191" s="20"/>
      <x:c r="L191" s="20"/>
      <x:c r="M191" s="20"/>
      <x:c r="N191" s="20"/>
      <x:c r="O191" s="20"/>
      <x:c r="P191" s="20"/>
      <x:c r="Q191" s="20"/>
      <x:c r="R191" s="20"/>
      <x:c r="S191" s="23"/>
      <x:c r="T191" s="20"/>
      <x:c r="U191" s="23"/>
      <x:c r="V191" s="20" t="str">
        <x:f>IF(A191="","",TODAY()-I191)</x:f>
      </x:c>
      <x:c r="W191" s="20" t="str">
        <x:f>IF(A191="","",IF(AND(G191&lt;&gt;"Closed",G191&lt;&gt;"Accepted Risk",J191&lt;TODAY()),"YES","NO"))</x:f>
      </x:c>
    </x:row>
    <x:row r="192">
      <x:c r="A192" s="20"/>
      <x:c r="B192" s="20"/>
      <x:c r="C192" s="20"/>
      <x:c r="D192" s="20"/>
      <x:c r="E192" s="20"/>
      <x:c r="F192" s="20"/>
      <x:c r="G192" s="20"/>
      <x:c r="H192" s="20"/>
      <x:c r="I192" s="23"/>
      <x:c r="J192" s="23"/>
      <x:c r="K192" s="20"/>
      <x:c r="L192" s="20"/>
      <x:c r="M192" s="20"/>
      <x:c r="N192" s="20"/>
      <x:c r="O192" s="20"/>
      <x:c r="P192" s="20"/>
      <x:c r="Q192" s="20"/>
      <x:c r="R192" s="20"/>
      <x:c r="S192" s="23"/>
      <x:c r="T192" s="20"/>
      <x:c r="U192" s="23"/>
      <x:c r="V192" s="20" t="str">
        <x:f>IF(A192="","",TODAY()-I192)</x:f>
      </x:c>
      <x:c r="W192" s="20" t="str">
        <x:f>IF(A192="","",IF(AND(G192&lt;&gt;"Closed",G192&lt;&gt;"Accepted Risk",J192&lt;TODAY()),"YES","NO"))</x:f>
      </x:c>
    </x:row>
    <x:row r="193">
      <x:c r="A193" s="20"/>
      <x:c r="B193" s="20"/>
      <x:c r="C193" s="20"/>
      <x:c r="D193" s="20"/>
      <x:c r="E193" s="20"/>
      <x:c r="F193" s="20"/>
      <x:c r="G193" s="20"/>
      <x:c r="H193" s="20"/>
      <x:c r="I193" s="23"/>
      <x:c r="J193" s="23"/>
      <x:c r="K193" s="20"/>
      <x:c r="L193" s="20"/>
      <x:c r="M193" s="20"/>
      <x:c r="N193" s="20"/>
      <x:c r="O193" s="20"/>
      <x:c r="P193" s="20"/>
      <x:c r="Q193" s="20"/>
      <x:c r="R193" s="20"/>
      <x:c r="S193" s="23"/>
      <x:c r="T193" s="20"/>
      <x:c r="U193" s="23"/>
      <x:c r="V193" s="20" t="str">
        <x:f>IF(A193="","",TODAY()-I193)</x:f>
      </x:c>
      <x:c r="W193" s="20" t="str">
        <x:f>IF(A193="","",IF(AND(G193&lt;&gt;"Closed",G193&lt;&gt;"Accepted Risk",J193&lt;TODAY()),"YES","NO"))</x:f>
      </x:c>
    </x:row>
    <x:row r="194">
      <x:c r="A194" s="20"/>
      <x:c r="B194" s="20"/>
      <x:c r="C194" s="20"/>
      <x:c r="D194" s="20"/>
      <x:c r="E194" s="20"/>
      <x:c r="F194" s="20"/>
      <x:c r="G194" s="20"/>
      <x:c r="H194" s="20"/>
      <x:c r="I194" s="23"/>
      <x:c r="J194" s="23"/>
      <x:c r="K194" s="20"/>
      <x:c r="L194" s="20"/>
      <x:c r="M194" s="20"/>
      <x:c r="N194" s="20"/>
      <x:c r="O194" s="20"/>
      <x:c r="P194" s="20"/>
      <x:c r="Q194" s="20"/>
      <x:c r="R194" s="20"/>
      <x:c r="S194" s="23"/>
      <x:c r="T194" s="20"/>
      <x:c r="U194" s="23"/>
      <x:c r="V194" s="20" t="str">
        <x:f>IF(A194="","",TODAY()-I194)</x:f>
      </x:c>
      <x:c r="W194" s="20" t="str">
        <x:f>IF(A194="","",IF(AND(G194&lt;&gt;"Closed",G194&lt;&gt;"Accepted Risk",J194&lt;TODAY()),"YES","NO"))</x:f>
      </x:c>
    </x:row>
    <x:row r="195">
      <x:c r="A195" s="20"/>
      <x:c r="B195" s="20"/>
      <x:c r="C195" s="20"/>
      <x:c r="D195" s="20"/>
      <x:c r="E195" s="20"/>
      <x:c r="F195" s="20"/>
      <x:c r="G195" s="20"/>
      <x:c r="H195" s="20"/>
      <x:c r="I195" s="23"/>
      <x:c r="J195" s="23"/>
      <x:c r="K195" s="20"/>
      <x:c r="L195" s="20"/>
      <x:c r="M195" s="20"/>
      <x:c r="N195" s="20"/>
      <x:c r="O195" s="20"/>
      <x:c r="P195" s="20"/>
      <x:c r="Q195" s="20"/>
      <x:c r="R195" s="20"/>
      <x:c r="S195" s="23"/>
      <x:c r="T195" s="20"/>
      <x:c r="U195" s="23"/>
      <x:c r="V195" s="20" t="str">
        <x:f>IF(A195="","",TODAY()-I195)</x:f>
      </x:c>
      <x:c r="W195" s="20" t="str">
        <x:f>IF(A195="","",IF(AND(G195&lt;&gt;"Closed",G195&lt;&gt;"Accepted Risk",J195&lt;TODAY()),"YES","NO"))</x:f>
      </x:c>
    </x:row>
    <x:row r="196">
      <x:c r="A196" s="20"/>
      <x:c r="B196" s="20"/>
      <x:c r="C196" s="20"/>
      <x:c r="D196" s="20"/>
      <x:c r="E196" s="20"/>
      <x:c r="F196" s="20"/>
      <x:c r="G196" s="20"/>
      <x:c r="H196" s="20"/>
      <x:c r="I196" s="23"/>
      <x:c r="J196" s="23"/>
      <x:c r="K196" s="20"/>
      <x:c r="L196" s="20"/>
      <x:c r="M196" s="20"/>
      <x:c r="N196" s="20"/>
      <x:c r="O196" s="20"/>
      <x:c r="P196" s="20"/>
      <x:c r="Q196" s="20"/>
      <x:c r="R196" s="20"/>
      <x:c r="S196" s="23"/>
      <x:c r="T196" s="20"/>
      <x:c r="U196" s="23"/>
      <x:c r="V196" s="20" t="str">
        <x:f>IF(A196="","",TODAY()-I196)</x:f>
      </x:c>
      <x:c r="W196" s="20" t="str">
        <x:f>IF(A196="","",IF(AND(G196&lt;&gt;"Closed",G196&lt;&gt;"Accepted Risk",J196&lt;TODAY()),"YES","NO"))</x:f>
      </x:c>
    </x:row>
    <x:row r="197">
      <x:c r="A197" s="20"/>
      <x:c r="B197" s="20"/>
      <x:c r="C197" s="20"/>
      <x:c r="D197" s="20"/>
      <x:c r="E197" s="20"/>
      <x:c r="F197" s="20"/>
      <x:c r="G197" s="20"/>
      <x:c r="H197" s="20"/>
      <x:c r="I197" s="23"/>
      <x:c r="J197" s="23"/>
      <x:c r="K197" s="20"/>
      <x:c r="L197" s="20"/>
      <x:c r="M197" s="20"/>
      <x:c r="N197" s="20"/>
      <x:c r="O197" s="20"/>
      <x:c r="P197" s="20"/>
      <x:c r="Q197" s="20"/>
      <x:c r="R197" s="20"/>
      <x:c r="S197" s="23"/>
      <x:c r="T197" s="20"/>
      <x:c r="U197" s="23"/>
      <x:c r="V197" s="20" t="str">
        <x:f>IF(A197="","",TODAY()-I197)</x:f>
      </x:c>
      <x:c r="W197" s="20" t="str">
        <x:f>IF(A197="","",IF(AND(G197&lt;&gt;"Closed",G197&lt;&gt;"Accepted Risk",J197&lt;TODAY()),"YES","NO"))</x:f>
      </x:c>
    </x:row>
    <x:row r="198">
      <x:c r="A198" s="20"/>
      <x:c r="B198" s="20"/>
      <x:c r="C198" s="20"/>
      <x:c r="D198" s="20"/>
      <x:c r="E198" s="20"/>
      <x:c r="F198" s="20"/>
      <x:c r="G198" s="20"/>
      <x:c r="H198" s="20"/>
      <x:c r="I198" s="23"/>
      <x:c r="J198" s="23"/>
      <x:c r="K198" s="20"/>
      <x:c r="L198" s="20"/>
      <x:c r="M198" s="20"/>
      <x:c r="N198" s="20"/>
      <x:c r="O198" s="20"/>
      <x:c r="P198" s="20"/>
      <x:c r="Q198" s="20"/>
      <x:c r="R198" s="20"/>
      <x:c r="S198" s="23"/>
      <x:c r="T198" s="20"/>
      <x:c r="U198" s="23"/>
      <x:c r="V198" s="20" t="str">
        <x:f>IF(A198="","",TODAY()-I198)</x:f>
      </x:c>
      <x:c r="W198" s="20" t="str">
        <x:f>IF(A198="","",IF(AND(G198&lt;&gt;"Closed",G198&lt;&gt;"Accepted Risk",J198&lt;TODAY()),"YES","NO"))</x:f>
      </x:c>
    </x:row>
    <x:row r="199">
      <x:c r="A199" s="20"/>
      <x:c r="B199" s="20"/>
      <x:c r="C199" s="20"/>
      <x:c r="D199" s="20"/>
      <x:c r="E199" s="20"/>
      <x:c r="F199" s="20"/>
      <x:c r="G199" s="20"/>
      <x:c r="H199" s="20"/>
      <x:c r="I199" s="23"/>
      <x:c r="J199" s="23"/>
      <x:c r="K199" s="20"/>
      <x:c r="L199" s="20"/>
      <x:c r="M199" s="20"/>
      <x:c r="N199" s="20"/>
      <x:c r="O199" s="20"/>
      <x:c r="P199" s="20"/>
      <x:c r="Q199" s="20"/>
      <x:c r="R199" s="20"/>
      <x:c r="S199" s="23"/>
      <x:c r="T199" s="20"/>
      <x:c r="U199" s="23"/>
      <x:c r="V199" s="20" t="str">
        <x:f>IF(A199="","",TODAY()-I199)</x:f>
      </x:c>
      <x:c r="W199" s="20" t="str">
        <x:f>IF(A199="","",IF(AND(G199&lt;&gt;"Closed",G199&lt;&gt;"Accepted Risk",J199&lt;TODAY()),"YES","NO"))</x:f>
      </x:c>
    </x:row>
    <x:row r="200">
      <x:c r="A200" s="20"/>
      <x:c r="B200" s="20"/>
      <x:c r="C200" s="20"/>
      <x:c r="D200" s="20"/>
      <x:c r="E200" s="20"/>
      <x:c r="F200" s="20"/>
      <x:c r="G200" s="20"/>
      <x:c r="H200" s="20"/>
      <x:c r="I200" s="23"/>
      <x:c r="J200" s="23"/>
      <x:c r="K200" s="20"/>
      <x:c r="L200" s="20"/>
      <x:c r="M200" s="20"/>
      <x:c r="N200" s="20"/>
      <x:c r="O200" s="20"/>
      <x:c r="P200" s="20"/>
      <x:c r="Q200" s="20"/>
      <x:c r="R200" s="20"/>
      <x:c r="S200" s="23"/>
      <x:c r="T200" s="20"/>
      <x:c r="U200" s="23"/>
      <x:c r="V200" s="20" t="str">
        <x:f>IF(A200="","",TODAY()-I200)</x:f>
      </x:c>
      <x:c r="W200" s="20" t="str">
        <x:f>IF(A200="","",IF(AND(G200&lt;&gt;"Closed",G200&lt;&gt;"Accepted Risk",J200&lt;TODAY()),"YES","NO"))</x:f>
      </x:c>
    </x:row>
    <x:row r="201">
      <x:c r="A201" s="20"/>
      <x:c r="B201" s="20"/>
      <x:c r="C201" s="20"/>
      <x:c r="D201" s="20"/>
      <x:c r="E201" s="20"/>
      <x:c r="F201" s="20"/>
      <x:c r="G201" s="20"/>
      <x:c r="H201" s="20"/>
      <x:c r="I201" s="23"/>
      <x:c r="J201" s="23"/>
      <x:c r="K201" s="20"/>
      <x:c r="L201" s="20"/>
      <x:c r="M201" s="20"/>
      <x:c r="N201" s="20"/>
      <x:c r="O201" s="20"/>
      <x:c r="P201" s="20"/>
      <x:c r="Q201" s="20"/>
      <x:c r="R201" s="20"/>
      <x:c r="S201" s="23"/>
      <x:c r="T201" s="20"/>
      <x:c r="U201" s="23"/>
      <x:c r="V201" s="20" t="str">
        <x:f>IF(A201="","",TODAY()-I201)</x:f>
      </x:c>
      <x:c r="W201" s="20" t="str">
        <x:f>IF(A201="","",IF(AND(G201&lt;&gt;"Closed",G201&lt;&gt;"Accepted Risk",J201&lt;TODAY()),"YES","NO"))</x:f>
      </x:c>
    </x:row>
    <x:row r="202">
      <x:c r="A202" s="20"/>
      <x:c r="B202" s="20"/>
      <x:c r="C202" s="20"/>
      <x:c r="D202" s="20"/>
      <x:c r="E202" s="20"/>
      <x:c r="F202" s="20"/>
      <x:c r="G202" s="20"/>
      <x:c r="H202" s="20"/>
      <x:c r="I202" s="23"/>
      <x:c r="J202" s="23"/>
      <x:c r="K202" s="20"/>
      <x:c r="L202" s="20"/>
      <x:c r="M202" s="20"/>
      <x:c r="N202" s="20"/>
      <x:c r="O202" s="20"/>
      <x:c r="P202" s="20"/>
      <x:c r="Q202" s="20"/>
      <x:c r="R202" s="20"/>
      <x:c r="S202" s="23"/>
      <x:c r="T202" s="20"/>
      <x:c r="U202" s="23"/>
      <x:c r="V202" s="20" t="str">
        <x:f>IF(A202="","",TODAY()-I202)</x:f>
      </x:c>
      <x:c r="W202" s="20" t="str">
        <x:f>IF(A202="","",IF(AND(G202&lt;&gt;"Closed",G202&lt;&gt;"Accepted Risk",J202&lt;TODAY()),"YES","NO"))</x:f>
      </x:c>
    </x:row>
    <x:row r="203">
      <x:c r="A203" s="20"/>
      <x:c r="B203" s="20"/>
      <x:c r="C203" s="20"/>
      <x:c r="D203" s="20"/>
      <x:c r="E203" s="20"/>
      <x:c r="F203" s="20"/>
      <x:c r="G203" s="20"/>
      <x:c r="H203" s="20"/>
      <x:c r="I203" s="23"/>
      <x:c r="J203" s="23"/>
      <x:c r="K203" s="20"/>
      <x:c r="L203" s="20"/>
      <x:c r="M203" s="20"/>
      <x:c r="N203" s="20"/>
      <x:c r="O203" s="20"/>
      <x:c r="P203" s="20"/>
      <x:c r="Q203" s="20"/>
      <x:c r="R203" s="20"/>
      <x:c r="S203" s="23"/>
      <x:c r="T203" s="20"/>
      <x:c r="U203" s="23"/>
      <x:c r="V203" s="20" t="str">
        <x:f>IF(A203="","",TODAY()-I203)</x:f>
      </x:c>
      <x:c r="W203" s="20" t="str">
        <x:f>IF(A203="","",IF(AND(G203&lt;&gt;"Closed",G203&lt;&gt;"Accepted Risk",J203&lt;TODAY()),"YES","NO"))</x:f>
      </x:c>
    </x:row>
    <x:row r="204">
      <x:c r="A204" s="21"/>
      <x:c r="B204" s="21"/>
      <x:c r="C204" s="21"/>
      <x:c r="D204" s="21"/>
      <x:c r="E204" s="21"/>
      <x:c r="F204" s="21"/>
      <x:c r="G204" s="21"/>
      <x:c r="H204" s="21"/>
      <x:c r="I204" s="24"/>
      <x:c r="J204" s="24"/>
      <x:c r="K204" s="21"/>
      <x:c r="L204" s="21"/>
      <x:c r="M204" s="21"/>
      <x:c r="N204" s="21"/>
      <x:c r="O204" s="21"/>
      <x:c r="P204" s="21"/>
      <x:c r="Q204" s="21"/>
      <x:c r="R204" s="21"/>
      <x:c r="S204" s="24"/>
      <x:c r="T204" s="21"/>
      <x:c r="U204" s="24"/>
      <x:c r="V204" s="21" t="str">
        <x:f>IF(A204="","",TODAY()-I204)</x:f>
      </x:c>
      <x:c r="W204" s="21" t="str">
        <x:f>IF(A204="","",IF(AND(G204&lt;&gt;"Closed",G204&lt;&gt;"Accepted Risk",J204&lt;TODAY()),"YES","NO"))</x:f>
      </x:c>
    </x:row>
  </x:sheetData>
  <x:mergeCells>
    <x:mergeCell ref="A1:W1"/>
    <x:mergeCell ref="A2:W2"/>
  </x:mergeCells>
  <x:conditionalFormatting sqref="A5:W204">
    <x:cfRule type="expression" dxfId="12" priority="1">
      <x:formula>OR($G5="Open",$G5="Blocked",$G5="Failed",$G5="Rejected",$G5="Not Authorised")</x:formula>
    </x:cfRule>
    <x:cfRule type="expression" dxfId="13" priority="2">
      <x:formula>OR($G5="Approved",$G5="Passed",$G5="Closed",$G5="Authorised")</x:formula>
    </x:cfRule>
    <x:cfRule type="expression" dxfId="14" priority="3">
      <x:formula>OR($G5="Pending",$G5="In Progress",$G5="Investigating",$G5="Conditional")</x:formula>
    </x:cfRule>
  </x:conditionalFormatting>
  <x:dataValidations count="3">
    <x:dataValidation type="list" sqref="F5:F204">
      <x:formula1>"Critical,Major,Moderate,Minor"</x:formula1>
    </x:dataValidation>
    <x:dataValidation type="list" sqref="G5:G204">
      <x:formula1>"Open,Triaged,In Progress,Ready for Retest,Closed,Accepted Risk,Rejected"</x:formula1>
    </x:dataValidation>
    <x:dataValidation type="list" sqref="R5:R204">
      <x:formula1>"Not Run,Pass,Fail,Not Applicable"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a616ee6dbf8402a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34" hidden="0" customWidth="1"/>
    <x:col min="7" max="7" width="18" hidden="0" customWidth="1"/>
    <x:col min="8" max="8" width="12" hidden="0" customWidth="1"/>
    <x:col min="9" max="9" width="12" hidden="0" customWidth="1"/>
    <x:col min="10" max="10" width="12" hidden="0" customWidth="1"/>
    <x:col min="11" max="11" width="18" hidden="0" customWidth="1"/>
    <x:col min="12" max="12" width="16" hidden="0" customWidth="1"/>
    <x:col min="13" max="13" width="34" hidden="0" customWidth="1"/>
    <x:col min="14" max="14" width="28" hidden="0" customWidth="1"/>
    <x:col min="15" max="15" width="14" hidden="0" customWidth="1"/>
    <x:col min="16" max="16" width="14" hidden="0" customWidth="1"/>
    <x:col min="17" max="17" width="14" hidden="0" customWidth="1"/>
    <x:col min="18" max="18" width="16" hidden="0" customWidth="1"/>
    <x:col min="19" max="19" width="16" hidden="0" customWidth="1"/>
    <x:col min="20" max="20" width="20" hidden="0" customWidth="1"/>
    <x:col min="21" max="21" width="14" hidden="0" customWidth="1"/>
    <x:col min="22" max="22" width="14" hidden="0" customWidth="1"/>
  </x:cols>
  <x:sheetData>
    <x:row r="1" ht="34" customHeight="1">
      <x:c r="A1" s="3" t="str">
        <x:v>RISKS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</x:row>
    <x:row r="2" ht="28" customHeight="1">
      <x:c r="A2" s="7" t="str">
        <x:v>Known delivery, operational, security, privacy, commercial and reputational risks.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  <x:c r="R2" s="7"/>
      <x:c r="S2" s="7"/>
      <x:c r="T2" s="7"/>
      <x:c r="U2" s="7"/>
      <x:c r="V2" s="7"/>
    </x:row>
    <x:row r="4" ht="32" customHeight="1">
      <x:c r="A4" s="12" t="str">
        <x:v>Risk ID*</x:v>
      </x:c>
      <x:c r="B4" s="12" t="str">
        <x:v>Candidate ID</x:v>
      </x:c>
      <x:c r="C4" s="12" t="str">
        <x:v>Event ID</x:v>
      </x:c>
      <x:c r="D4" s="12" t="str">
        <x:v>Scope Type*</x:v>
      </x:c>
      <x:c r="E4" s="12" t="str">
        <x:v>Scope ID</x:v>
      </x:c>
      <x:c r="F4" s="12" t="str">
        <x:v>Risk Statement*</x:v>
      </x:c>
      <x:c r="G4" s="12" t="str">
        <x:v>Category*</x:v>
      </x:c>
      <x:c r="H4" s="12" t="str">
        <x:v>Likelihood*</x:v>
      </x:c>
      <x:c r="I4" s="12" t="str">
        <x:v>Impact*</x:v>
      </x:c>
      <x:c r="J4" s="12" t="str">
        <x:v>Rating*</x:v>
      </x:c>
      <x:c r="K4" s="12" t="str">
        <x:v>Owner*</x:v>
      </x:c>
      <x:c r="L4" s="12" t="str">
        <x:v>Treatment*</x:v>
      </x:c>
      <x:c r="M4" s="12" t="str">
        <x:v>Mitigation / Controls*</x:v>
      </x:c>
      <x:c r="N4" s="12" t="str">
        <x:v>Trigger / Indicator</x:v>
      </x:c>
      <x:c r="O4" s="12" t="str">
        <x:v>Residual Rating*</x:v>
      </x:c>
      <x:c r="P4" s="12" t="str">
        <x:v>Status*</x:v>
      </x:c>
      <x:c r="Q4" s="12" t="str">
        <x:v>Review Date*</x:v>
      </x:c>
      <x:c r="R4" s="12" t="str">
        <x:v>Decision ID</x:v>
      </x:c>
      <x:c r="S4" s="12" t="str">
        <x:v>Exception ID</x:v>
      </x:c>
      <x:c r="T4" s="12" t="str">
        <x:v>Evidence IDs</x:v>
      </x:c>
      <x:c r="U4" s="12" t="str">
        <x:v>Last Updated*</x:v>
      </x:c>
      <x:c r="V4" s="12" t="str">
        <x:v>Overdue Review?</x:v>
      </x:c>
    </x:row>
    <x:row r="5">
      <x:c r="A5" s="19"/>
      <x:c r="B5" s="19"/>
      <x:c r="C5" s="19"/>
      <x:c r="D5" s="19"/>
      <x:c r="E5" s="19"/>
      <x:c r="F5" s="19"/>
      <x:c r="G5" s="19"/>
      <x:c r="H5" s="19"/>
      <x:c r="I5" s="19"/>
      <x:c r="J5" s="19"/>
      <x:c r="K5" s="19"/>
      <x:c r="L5" s="19"/>
      <x:c r="M5" s="19"/>
      <x:c r="N5" s="19"/>
      <x:c r="O5" s="19"/>
      <x:c r="P5" s="19"/>
      <x:c r="Q5" s="22"/>
      <x:c r="R5" s="19"/>
      <x:c r="S5" s="19"/>
      <x:c r="T5" s="19"/>
      <x:c r="U5" s="22"/>
      <x:c r="V5" s="19" t="str">
        <x:f>IF(A5="","",IF(AND(P5&lt;&gt;"Closed",Q5&lt;TODAY()),"YES","NO"))</x:f>
      </x:c>
    </x:row>
    <x:row r="6">
      <x:c r="A6" s="20"/>
      <x:c r="B6" s="20"/>
      <x:c r="C6" s="20"/>
      <x:c r="D6" s="20"/>
      <x:c r="E6" s="20"/>
      <x:c r="F6" s="20"/>
      <x:c r="G6" s="20"/>
      <x:c r="H6" s="20"/>
      <x:c r="I6" s="20"/>
      <x:c r="J6" s="20"/>
      <x:c r="K6" s="20"/>
      <x:c r="L6" s="20"/>
      <x:c r="M6" s="20"/>
      <x:c r="N6" s="20"/>
      <x:c r="O6" s="20"/>
      <x:c r="P6" s="20"/>
      <x:c r="Q6" s="23"/>
      <x:c r="R6" s="20"/>
      <x:c r="S6" s="20"/>
      <x:c r="T6" s="20"/>
      <x:c r="U6" s="23"/>
      <x:c r="V6" s="20" t="str">
        <x:f>IF(A6="","",IF(AND(P6&lt;&gt;"Closed",Q6&lt;TODAY()),"YES","NO"))</x:f>
      </x:c>
    </x:row>
    <x:row r="7">
      <x:c r="A7" s="20"/>
      <x:c r="B7" s="20"/>
      <x:c r="C7" s="20"/>
      <x:c r="D7" s="20"/>
      <x:c r="E7" s="20"/>
      <x:c r="F7" s="20"/>
      <x:c r="G7" s="20"/>
      <x:c r="H7" s="20"/>
      <x:c r="I7" s="20"/>
      <x:c r="J7" s="20"/>
      <x:c r="K7" s="20"/>
      <x:c r="L7" s="20"/>
      <x:c r="M7" s="20"/>
      <x:c r="N7" s="20"/>
      <x:c r="O7" s="20"/>
      <x:c r="P7" s="20"/>
      <x:c r="Q7" s="23"/>
      <x:c r="R7" s="20"/>
      <x:c r="S7" s="20"/>
      <x:c r="T7" s="20"/>
      <x:c r="U7" s="23"/>
      <x:c r="V7" s="20" t="str">
        <x:f>IF(A7="","",IF(AND(P7&lt;&gt;"Closed",Q7&lt;TODAY()),"YES","NO"))</x:f>
      </x:c>
    </x:row>
    <x:row r="8">
      <x:c r="A8" s="20"/>
      <x:c r="B8" s="20"/>
      <x:c r="C8" s="20"/>
      <x:c r="D8" s="20"/>
      <x:c r="E8" s="20"/>
      <x:c r="F8" s="20"/>
      <x:c r="G8" s="20"/>
      <x:c r="H8" s="20"/>
      <x:c r="I8" s="20"/>
      <x:c r="J8" s="20"/>
      <x:c r="K8" s="20"/>
      <x:c r="L8" s="20"/>
      <x:c r="M8" s="20"/>
      <x:c r="N8" s="20"/>
      <x:c r="O8" s="20"/>
      <x:c r="P8" s="20"/>
      <x:c r="Q8" s="23"/>
      <x:c r="R8" s="20"/>
      <x:c r="S8" s="20"/>
      <x:c r="T8" s="20"/>
      <x:c r="U8" s="23"/>
      <x:c r="V8" s="20" t="str">
        <x:f>IF(A8="","",IF(AND(P8&lt;&gt;"Closed",Q8&lt;TODAY()),"YES","NO"))</x:f>
      </x:c>
    </x:row>
    <x:row r="9">
      <x:c r="A9" s="20"/>
      <x:c r="B9" s="20"/>
      <x:c r="C9" s="20"/>
      <x:c r="D9" s="20"/>
      <x:c r="E9" s="20"/>
      <x:c r="F9" s="20"/>
      <x:c r="G9" s="20"/>
      <x:c r="H9" s="20"/>
      <x:c r="I9" s="20"/>
      <x:c r="J9" s="20"/>
      <x:c r="K9" s="20"/>
      <x:c r="L9" s="20"/>
      <x:c r="M9" s="20"/>
      <x:c r="N9" s="20"/>
      <x:c r="O9" s="20"/>
      <x:c r="P9" s="20"/>
      <x:c r="Q9" s="23"/>
      <x:c r="R9" s="20"/>
      <x:c r="S9" s="20"/>
      <x:c r="T9" s="20"/>
      <x:c r="U9" s="23"/>
      <x:c r="V9" s="20" t="str">
        <x:f>IF(A9="","",IF(AND(P9&lt;&gt;"Closed",Q9&lt;TODAY()),"YES","NO"))</x:f>
      </x:c>
    </x:row>
    <x:row r="10">
      <x:c r="A10" s="20"/>
      <x:c r="B10" s="20"/>
      <x:c r="C10" s="20"/>
      <x:c r="D10" s="20"/>
      <x:c r="E10" s="20"/>
      <x:c r="F10" s="20"/>
      <x:c r="G10" s="20"/>
      <x:c r="H10" s="20"/>
      <x:c r="I10" s="20"/>
      <x:c r="J10" s="20"/>
      <x:c r="K10" s="20"/>
      <x:c r="L10" s="20"/>
      <x:c r="M10" s="20"/>
      <x:c r="N10" s="20"/>
      <x:c r="O10" s="20"/>
      <x:c r="P10" s="20"/>
      <x:c r="Q10" s="23"/>
      <x:c r="R10" s="20"/>
      <x:c r="S10" s="20"/>
      <x:c r="T10" s="20"/>
      <x:c r="U10" s="23"/>
      <x:c r="V10" s="20" t="str">
        <x:f>IF(A10="","",IF(AND(P10&lt;&gt;"Closed",Q10&lt;TODAY()),"YES","NO"))</x:f>
      </x:c>
    </x:row>
    <x:row r="11">
      <x:c r="A11" s="20"/>
      <x:c r="B11" s="20"/>
      <x:c r="C11" s="20"/>
      <x:c r="D11" s="20"/>
      <x:c r="E11" s="20"/>
      <x:c r="F11" s="20"/>
      <x:c r="G11" s="20"/>
      <x:c r="H11" s="20"/>
      <x:c r="I11" s="20"/>
      <x:c r="J11" s="20"/>
      <x:c r="K11" s="20"/>
      <x:c r="L11" s="20"/>
      <x:c r="M11" s="20"/>
      <x:c r="N11" s="20"/>
      <x:c r="O11" s="20"/>
      <x:c r="P11" s="20"/>
      <x:c r="Q11" s="23"/>
      <x:c r="R11" s="20"/>
      <x:c r="S11" s="20"/>
      <x:c r="T11" s="20"/>
      <x:c r="U11" s="23"/>
      <x:c r="V11" s="20" t="str">
        <x:f>IF(A11="","",IF(AND(P11&lt;&gt;"Closed",Q11&lt;TODAY()),"YES","NO"))</x:f>
      </x:c>
    </x:row>
    <x:row r="12">
      <x:c r="A12" s="20"/>
      <x:c r="B12" s="20"/>
      <x:c r="C12" s="20"/>
      <x:c r="D12" s="20"/>
      <x:c r="E12" s="20"/>
      <x:c r="F12" s="20"/>
      <x:c r="G12" s="20"/>
      <x:c r="H12" s="20"/>
      <x:c r="I12" s="20"/>
      <x:c r="J12" s="20"/>
      <x:c r="K12" s="20"/>
      <x:c r="L12" s="20"/>
      <x:c r="M12" s="20"/>
      <x:c r="N12" s="20"/>
      <x:c r="O12" s="20"/>
      <x:c r="P12" s="20"/>
      <x:c r="Q12" s="23"/>
      <x:c r="R12" s="20"/>
      <x:c r="S12" s="20"/>
      <x:c r="T12" s="20"/>
      <x:c r="U12" s="23"/>
      <x:c r="V12" s="20" t="str">
        <x:f>IF(A12="","",IF(AND(P12&lt;&gt;"Closed",Q12&lt;TODAY()),"YES","NO"))</x:f>
      </x:c>
    </x:row>
    <x:row r="13">
      <x:c r="A13" s="20"/>
      <x:c r="B13" s="20"/>
      <x:c r="C13" s="20"/>
      <x:c r="D13" s="20"/>
      <x:c r="E13" s="20"/>
      <x:c r="F13" s="20"/>
      <x:c r="G13" s="20"/>
      <x:c r="H13" s="20"/>
      <x:c r="I13" s="20"/>
      <x:c r="J13" s="20"/>
      <x:c r="K13" s="20"/>
      <x:c r="L13" s="20"/>
      <x:c r="M13" s="20"/>
      <x:c r="N13" s="20"/>
      <x:c r="O13" s="20"/>
      <x:c r="P13" s="20"/>
      <x:c r="Q13" s="23"/>
      <x:c r="R13" s="20"/>
      <x:c r="S13" s="20"/>
      <x:c r="T13" s="20"/>
      <x:c r="U13" s="23"/>
      <x:c r="V13" s="20" t="str">
        <x:f>IF(A13="","",IF(AND(P13&lt;&gt;"Closed",Q13&lt;TODAY()),"YES","NO"))</x:f>
      </x:c>
    </x:row>
    <x:row r="14">
      <x:c r="A14" s="20"/>
      <x:c r="B14" s="20"/>
      <x:c r="C14" s="20"/>
      <x:c r="D14" s="20"/>
      <x:c r="E14" s="20"/>
      <x:c r="F14" s="20"/>
      <x:c r="G14" s="20"/>
      <x:c r="H14" s="20"/>
      <x:c r="I14" s="20"/>
      <x:c r="J14" s="20"/>
      <x:c r="K14" s="20"/>
      <x:c r="L14" s="20"/>
      <x:c r="M14" s="20"/>
      <x:c r="N14" s="20"/>
      <x:c r="O14" s="20"/>
      <x:c r="P14" s="20"/>
      <x:c r="Q14" s="23"/>
      <x:c r="R14" s="20"/>
      <x:c r="S14" s="20"/>
      <x:c r="T14" s="20"/>
      <x:c r="U14" s="23"/>
      <x:c r="V14" s="20" t="str">
        <x:f>IF(A14="","",IF(AND(P14&lt;&gt;"Closed",Q14&lt;TODAY()),"YES","NO"))</x:f>
      </x:c>
    </x:row>
    <x:row r="15">
      <x:c r="A15" s="20"/>
      <x:c r="B15" s="20"/>
      <x:c r="C15" s="20"/>
      <x:c r="D15" s="20"/>
      <x:c r="E15" s="20"/>
      <x:c r="F15" s="20"/>
      <x:c r="G15" s="20"/>
      <x:c r="H15" s="20"/>
      <x:c r="I15" s="20"/>
      <x:c r="J15" s="20"/>
      <x:c r="K15" s="20"/>
      <x:c r="L15" s="20"/>
      <x:c r="M15" s="20"/>
      <x:c r="N15" s="20"/>
      <x:c r="O15" s="20"/>
      <x:c r="P15" s="20"/>
      <x:c r="Q15" s="23"/>
      <x:c r="R15" s="20"/>
      <x:c r="S15" s="20"/>
      <x:c r="T15" s="20"/>
      <x:c r="U15" s="23"/>
      <x:c r="V15" s="20" t="str">
        <x:f>IF(A15="","",IF(AND(P15&lt;&gt;"Closed",Q15&lt;TODAY()),"YES","NO"))</x:f>
      </x:c>
    </x:row>
    <x:row r="16">
      <x:c r="A16" s="20"/>
      <x:c r="B16" s="20"/>
      <x:c r="C16" s="20"/>
      <x:c r="D16" s="20"/>
      <x:c r="E16" s="20"/>
      <x:c r="F16" s="20"/>
      <x:c r="G16" s="20"/>
      <x:c r="H16" s="20"/>
      <x:c r="I16" s="20"/>
      <x:c r="J16" s="20"/>
      <x:c r="K16" s="20"/>
      <x:c r="L16" s="20"/>
      <x:c r="M16" s="20"/>
      <x:c r="N16" s="20"/>
      <x:c r="O16" s="20"/>
      <x:c r="P16" s="20"/>
      <x:c r="Q16" s="23"/>
      <x:c r="R16" s="20"/>
      <x:c r="S16" s="20"/>
      <x:c r="T16" s="20"/>
      <x:c r="U16" s="23"/>
      <x:c r="V16" s="20" t="str">
        <x:f>IF(A16="","",IF(AND(P16&lt;&gt;"Closed",Q16&lt;TODAY()),"YES","NO"))</x:f>
      </x:c>
    </x:row>
    <x:row r="17">
      <x:c r="A17" s="20"/>
      <x:c r="B17" s="20"/>
      <x:c r="C17" s="20"/>
      <x:c r="D17" s="20"/>
      <x:c r="E17" s="20"/>
      <x:c r="F17" s="20"/>
      <x:c r="G17" s="20"/>
      <x:c r="H17" s="20"/>
      <x:c r="I17" s="20"/>
      <x:c r="J17" s="20"/>
      <x:c r="K17" s="20"/>
      <x:c r="L17" s="20"/>
      <x:c r="M17" s="20"/>
      <x:c r="N17" s="20"/>
      <x:c r="O17" s="20"/>
      <x:c r="P17" s="20"/>
      <x:c r="Q17" s="23"/>
      <x:c r="R17" s="20"/>
      <x:c r="S17" s="20"/>
      <x:c r="T17" s="20"/>
      <x:c r="U17" s="23"/>
      <x:c r="V17" s="20" t="str">
        <x:f>IF(A17="","",IF(AND(P17&lt;&gt;"Closed",Q17&lt;TODAY()),"YES","NO"))</x:f>
      </x:c>
    </x:row>
    <x:row r="18">
      <x:c r="A18" s="20"/>
      <x:c r="B18" s="20"/>
      <x:c r="C18" s="20"/>
      <x:c r="D18" s="20"/>
      <x:c r="E18" s="20"/>
      <x:c r="F18" s="20"/>
      <x:c r="G18" s="20"/>
      <x:c r="H18" s="20"/>
      <x:c r="I18" s="20"/>
      <x:c r="J18" s="20"/>
      <x:c r="K18" s="20"/>
      <x:c r="L18" s="20"/>
      <x:c r="M18" s="20"/>
      <x:c r="N18" s="20"/>
      <x:c r="O18" s="20"/>
      <x:c r="P18" s="20"/>
      <x:c r="Q18" s="23"/>
      <x:c r="R18" s="20"/>
      <x:c r="S18" s="20"/>
      <x:c r="T18" s="20"/>
      <x:c r="U18" s="23"/>
      <x:c r="V18" s="20" t="str">
        <x:f>IF(A18="","",IF(AND(P18&lt;&gt;"Closed",Q18&lt;TODAY()),"YES","NO"))</x:f>
      </x:c>
    </x:row>
    <x:row r="19">
      <x:c r="A19" s="20"/>
      <x:c r="B19" s="20"/>
      <x:c r="C19" s="20"/>
      <x:c r="D19" s="20"/>
      <x:c r="E19" s="20"/>
      <x:c r="F19" s="20"/>
      <x:c r="G19" s="20"/>
      <x:c r="H19" s="20"/>
      <x:c r="I19" s="20"/>
      <x:c r="J19" s="20"/>
      <x:c r="K19" s="20"/>
      <x:c r="L19" s="20"/>
      <x:c r="M19" s="20"/>
      <x:c r="N19" s="20"/>
      <x:c r="O19" s="20"/>
      <x:c r="P19" s="20"/>
      <x:c r="Q19" s="23"/>
      <x:c r="R19" s="20"/>
      <x:c r="S19" s="20"/>
      <x:c r="T19" s="20"/>
      <x:c r="U19" s="23"/>
      <x:c r="V19" s="20" t="str">
        <x:f>IF(A19="","",IF(AND(P19&lt;&gt;"Closed",Q19&lt;TODAY()),"YES","NO"))</x:f>
      </x:c>
    </x:row>
    <x:row r="20">
      <x:c r="A20" s="20"/>
      <x:c r="B20" s="20"/>
      <x:c r="C20" s="20"/>
      <x:c r="D20" s="20"/>
      <x:c r="E20" s="20"/>
      <x:c r="F20" s="20"/>
      <x:c r="G20" s="20"/>
      <x:c r="H20" s="20"/>
      <x:c r="I20" s="20"/>
      <x:c r="J20" s="20"/>
      <x:c r="K20" s="20"/>
      <x:c r="L20" s="20"/>
      <x:c r="M20" s="20"/>
      <x:c r="N20" s="20"/>
      <x:c r="O20" s="20"/>
      <x:c r="P20" s="20"/>
      <x:c r="Q20" s="23"/>
      <x:c r="R20" s="20"/>
      <x:c r="S20" s="20"/>
      <x:c r="T20" s="20"/>
      <x:c r="U20" s="23"/>
      <x:c r="V20" s="20" t="str">
        <x:f>IF(A20="","",IF(AND(P20&lt;&gt;"Closed",Q20&lt;TODAY()),"YES","NO"))</x:f>
      </x:c>
    </x:row>
    <x:row r="21">
      <x:c r="A21" s="20"/>
      <x:c r="B21" s="20"/>
      <x:c r="C21" s="20"/>
      <x:c r="D21" s="20"/>
      <x:c r="E21" s="20"/>
      <x:c r="F21" s="20"/>
      <x:c r="G21" s="20"/>
      <x:c r="H21" s="20"/>
      <x:c r="I21" s="20"/>
      <x:c r="J21" s="20"/>
      <x:c r="K21" s="20"/>
      <x:c r="L21" s="20"/>
      <x:c r="M21" s="20"/>
      <x:c r="N21" s="20"/>
      <x:c r="O21" s="20"/>
      <x:c r="P21" s="20"/>
      <x:c r="Q21" s="23"/>
      <x:c r="R21" s="20"/>
      <x:c r="S21" s="20"/>
      <x:c r="T21" s="20"/>
      <x:c r="U21" s="23"/>
      <x:c r="V21" s="20" t="str">
        <x:f>IF(A21="","",IF(AND(P21&lt;&gt;"Closed",Q21&lt;TODAY()),"YES","NO"))</x:f>
      </x:c>
    </x:row>
    <x:row r="22">
      <x:c r="A22" s="20"/>
      <x:c r="B22" s="20"/>
      <x:c r="C22" s="20"/>
      <x:c r="D22" s="20"/>
      <x:c r="E22" s="20"/>
      <x:c r="F22" s="20"/>
      <x:c r="G22" s="20"/>
      <x:c r="H22" s="20"/>
      <x:c r="I22" s="20"/>
      <x:c r="J22" s="20"/>
      <x:c r="K22" s="20"/>
      <x:c r="L22" s="20"/>
      <x:c r="M22" s="20"/>
      <x:c r="N22" s="20"/>
      <x:c r="O22" s="20"/>
      <x:c r="P22" s="20"/>
      <x:c r="Q22" s="23"/>
      <x:c r="R22" s="20"/>
      <x:c r="S22" s="20"/>
      <x:c r="T22" s="20"/>
      <x:c r="U22" s="23"/>
      <x:c r="V22" s="20" t="str">
        <x:f>IF(A22="","",IF(AND(P22&lt;&gt;"Closed",Q22&lt;TODAY()),"YES","NO"))</x:f>
      </x:c>
    </x:row>
    <x:row r="23">
      <x:c r="A23" s="20"/>
      <x:c r="B23" s="20"/>
      <x:c r="C23" s="20"/>
      <x:c r="D23" s="20"/>
      <x:c r="E23" s="20"/>
      <x:c r="F23" s="20"/>
      <x:c r="G23" s="20"/>
      <x:c r="H23" s="20"/>
      <x:c r="I23" s="20"/>
      <x:c r="J23" s="20"/>
      <x:c r="K23" s="20"/>
      <x:c r="L23" s="20"/>
      <x:c r="M23" s="20"/>
      <x:c r="N23" s="20"/>
      <x:c r="O23" s="20"/>
      <x:c r="P23" s="20"/>
      <x:c r="Q23" s="23"/>
      <x:c r="R23" s="20"/>
      <x:c r="S23" s="20"/>
      <x:c r="T23" s="20"/>
      <x:c r="U23" s="23"/>
      <x:c r="V23" s="20" t="str">
        <x:f>IF(A23="","",IF(AND(P23&lt;&gt;"Closed",Q23&lt;TODAY()),"YES","NO"))</x:f>
      </x:c>
    </x:row>
    <x:row r="24">
      <x:c r="A24" s="20"/>
      <x:c r="B24" s="20"/>
      <x:c r="C24" s="20"/>
      <x:c r="D24" s="20"/>
      <x:c r="E24" s="20"/>
      <x:c r="F24" s="20"/>
      <x:c r="G24" s="20"/>
      <x:c r="H24" s="20"/>
      <x:c r="I24" s="20"/>
      <x:c r="J24" s="20"/>
      <x:c r="K24" s="20"/>
      <x:c r="L24" s="20"/>
      <x:c r="M24" s="20"/>
      <x:c r="N24" s="20"/>
      <x:c r="O24" s="20"/>
      <x:c r="P24" s="20"/>
      <x:c r="Q24" s="23"/>
      <x:c r="R24" s="20"/>
      <x:c r="S24" s="20"/>
      <x:c r="T24" s="20"/>
      <x:c r="U24" s="23"/>
      <x:c r="V24" s="20" t="str">
        <x:f>IF(A24="","",IF(AND(P24&lt;&gt;"Closed",Q24&lt;TODAY()),"YES","NO"))</x:f>
      </x:c>
    </x:row>
    <x:row r="25">
      <x:c r="A25" s="20"/>
      <x:c r="B25" s="20"/>
      <x:c r="C25" s="20"/>
      <x:c r="D25" s="20"/>
      <x:c r="E25" s="20"/>
      <x:c r="F25" s="20"/>
      <x:c r="G25" s="20"/>
      <x:c r="H25" s="20"/>
      <x:c r="I25" s="20"/>
      <x:c r="J25" s="20"/>
      <x:c r="K25" s="20"/>
      <x:c r="L25" s="20"/>
      <x:c r="M25" s="20"/>
      <x:c r="N25" s="20"/>
      <x:c r="O25" s="20"/>
      <x:c r="P25" s="20"/>
      <x:c r="Q25" s="23"/>
      <x:c r="R25" s="20"/>
      <x:c r="S25" s="20"/>
      <x:c r="T25" s="20"/>
      <x:c r="U25" s="23"/>
      <x:c r="V25" s="20" t="str">
        <x:f>IF(A25="","",IF(AND(P25&lt;&gt;"Closed",Q25&lt;TODAY()),"YES","NO"))</x:f>
      </x:c>
    </x:row>
    <x:row r="26">
      <x:c r="A26" s="20"/>
      <x:c r="B26" s="20"/>
      <x:c r="C26" s="20"/>
      <x:c r="D26" s="20"/>
      <x:c r="E26" s="20"/>
      <x:c r="F26" s="20"/>
      <x:c r="G26" s="20"/>
      <x:c r="H26" s="20"/>
      <x:c r="I26" s="20"/>
      <x:c r="J26" s="20"/>
      <x:c r="K26" s="20"/>
      <x:c r="L26" s="20"/>
      <x:c r="M26" s="20"/>
      <x:c r="N26" s="20"/>
      <x:c r="O26" s="20"/>
      <x:c r="P26" s="20"/>
      <x:c r="Q26" s="23"/>
      <x:c r="R26" s="20"/>
      <x:c r="S26" s="20"/>
      <x:c r="T26" s="20"/>
      <x:c r="U26" s="23"/>
      <x:c r="V26" s="20" t="str">
        <x:f>IF(A26="","",IF(AND(P26&lt;&gt;"Closed",Q26&lt;TODAY()),"YES","NO"))</x:f>
      </x:c>
    </x:row>
    <x:row r="27">
      <x:c r="A27" s="20"/>
      <x:c r="B27" s="20"/>
      <x:c r="C27" s="20"/>
      <x:c r="D27" s="20"/>
      <x:c r="E27" s="20"/>
      <x:c r="F27" s="20"/>
      <x:c r="G27" s="20"/>
      <x:c r="H27" s="20"/>
      <x:c r="I27" s="20"/>
      <x:c r="J27" s="20"/>
      <x:c r="K27" s="20"/>
      <x:c r="L27" s="20"/>
      <x:c r="M27" s="20"/>
      <x:c r="N27" s="20"/>
      <x:c r="O27" s="20"/>
      <x:c r="P27" s="20"/>
      <x:c r="Q27" s="23"/>
      <x:c r="R27" s="20"/>
      <x:c r="S27" s="20"/>
      <x:c r="T27" s="20"/>
      <x:c r="U27" s="23"/>
      <x:c r="V27" s="20" t="str">
        <x:f>IF(A27="","",IF(AND(P27&lt;&gt;"Closed",Q27&lt;TODAY()),"YES","NO"))</x:f>
      </x:c>
    </x:row>
    <x:row r="28">
      <x:c r="A28" s="20"/>
      <x:c r="B28" s="20"/>
      <x:c r="C28" s="20"/>
      <x:c r="D28" s="20"/>
      <x:c r="E28" s="20"/>
      <x:c r="F28" s="20"/>
      <x:c r="G28" s="20"/>
      <x:c r="H28" s="20"/>
      <x:c r="I28" s="20"/>
      <x:c r="J28" s="20"/>
      <x:c r="K28" s="20"/>
      <x:c r="L28" s="20"/>
      <x:c r="M28" s="20"/>
      <x:c r="N28" s="20"/>
      <x:c r="O28" s="20"/>
      <x:c r="P28" s="20"/>
      <x:c r="Q28" s="23"/>
      <x:c r="R28" s="20"/>
      <x:c r="S28" s="20"/>
      <x:c r="T28" s="20"/>
      <x:c r="U28" s="23"/>
      <x:c r="V28" s="20" t="str">
        <x:f>IF(A28="","",IF(AND(P28&lt;&gt;"Closed",Q28&lt;TODAY()),"YES","NO"))</x:f>
      </x:c>
    </x:row>
    <x:row r="29">
      <x:c r="A29" s="20"/>
      <x:c r="B29" s="20"/>
      <x:c r="C29" s="20"/>
      <x:c r="D29" s="20"/>
      <x:c r="E29" s="20"/>
      <x:c r="F29" s="20"/>
      <x:c r="G29" s="20"/>
      <x:c r="H29" s="20"/>
      <x:c r="I29" s="20"/>
      <x:c r="J29" s="20"/>
      <x:c r="K29" s="20"/>
      <x:c r="L29" s="20"/>
      <x:c r="M29" s="20"/>
      <x:c r="N29" s="20"/>
      <x:c r="O29" s="20"/>
      <x:c r="P29" s="20"/>
      <x:c r="Q29" s="23"/>
      <x:c r="R29" s="20"/>
      <x:c r="S29" s="20"/>
      <x:c r="T29" s="20"/>
      <x:c r="U29" s="23"/>
      <x:c r="V29" s="20" t="str">
        <x:f>IF(A29="","",IF(AND(P29&lt;&gt;"Closed",Q29&lt;TODAY()),"YES","NO"))</x:f>
      </x:c>
    </x:row>
    <x:row r="30">
      <x:c r="A30" s="20"/>
      <x:c r="B30" s="20"/>
      <x:c r="C30" s="20"/>
      <x:c r="D30" s="20"/>
      <x:c r="E30" s="20"/>
      <x:c r="F30" s="20"/>
      <x:c r="G30" s="20"/>
      <x:c r="H30" s="20"/>
      <x:c r="I30" s="20"/>
      <x:c r="J30" s="20"/>
      <x:c r="K30" s="20"/>
      <x:c r="L30" s="20"/>
      <x:c r="M30" s="20"/>
      <x:c r="N30" s="20"/>
      <x:c r="O30" s="20"/>
      <x:c r="P30" s="20"/>
      <x:c r="Q30" s="23"/>
      <x:c r="R30" s="20"/>
      <x:c r="S30" s="20"/>
      <x:c r="T30" s="20"/>
      <x:c r="U30" s="23"/>
      <x:c r="V30" s="20" t="str">
        <x:f>IF(A30="","",IF(AND(P30&lt;&gt;"Closed",Q30&lt;TODAY()),"YES","NO"))</x:f>
      </x:c>
    </x:row>
    <x:row r="31">
      <x:c r="A31" s="20"/>
      <x:c r="B31" s="20"/>
      <x:c r="C31" s="20"/>
      <x:c r="D31" s="20"/>
      <x:c r="E31" s="20"/>
      <x:c r="F31" s="20"/>
      <x:c r="G31" s="20"/>
      <x:c r="H31" s="20"/>
      <x:c r="I31" s="20"/>
      <x:c r="J31" s="20"/>
      <x:c r="K31" s="20"/>
      <x:c r="L31" s="20"/>
      <x:c r="M31" s="20"/>
      <x:c r="N31" s="20"/>
      <x:c r="O31" s="20"/>
      <x:c r="P31" s="20"/>
      <x:c r="Q31" s="23"/>
      <x:c r="R31" s="20"/>
      <x:c r="S31" s="20"/>
      <x:c r="T31" s="20"/>
      <x:c r="U31" s="23"/>
      <x:c r="V31" s="20" t="str">
        <x:f>IF(A31="","",IF(AND(P31&lt;&gt;"Closed",Q31&lt;TODAY()),"YES","NO"))</x:f>
      </x:c>
    </x:row>
    <x:row r="32">
      <x:c r="A32" s="20"/>
      <x:c r="B32" s="20"/>
      <x:c r="C32" s="20"/>
      <x:c r="D32" s="20"/>
      <x:c r="E32" s="20"/>
      <x:c r="F32" s="20"/>
      <x:c r="G32" s="20"/>
      <x:c r="H32" s="20"/>
      <x:c r="I32" s="20"/>
      <x:c r="J32" s="20"/>
      <x:c r="K32" s="20"/>
      <x:c r="L32" s="20"/>
      <x:c r="M32" s="20"/>
      <x:c r="N32" s="20"/>
      <x:c r="O32" s="20"/>
      <x:c r="P32" s="20"/>
      <x:c r="Q32" s="23"/>
      <x:c r="R32" s="20"/>
      <x:c r="S32" s="20"/>
      <x:c r="T32" s="20"/>
      <x:c r="U32" s="23"/>
      <x:c r="V32" s="20" t="str">
        <x:f>IF(A32="","",IF(AND(P32&lt;&gt;"Closed",Q32&lt;TODAY()),"YES","NO"))</x:f>
      </x:c>
    </x:row>
    <x:row r="33">
      <x:c r="A33" s="20"/>
      <x:c r="B33" s="20"/>
      <x:c r="C33" s="20"/>
      <x:c r="D33" s="20"/>
      <x:c r="E33" s="20"/>
      <x:c r="F33" s="20"/>
      <x:c r="G33" s="20"/>
      <x:c r="H33" s="20"/>
      <x:c r="I33" s="20"/>
      <x:c r="J33" s="20"/>
      <x:c r="K33" s="20"/>
      <x:c r="L33" s="20"/>
      <x:c r="M33" s="20"/>
      <x:c r="N33" s="20"/>
      <x:c r="O33" s="20"/>
      <x:c r="P33" s="20"/>
      <x:c r="Q33" s="23"/>
      <x:c r="R33" s="20"/>
      <x:c r="S33" s="20"/>
      <x:c r="T33" s="20"/>
      <x:c r="U33" s="23"/>
      <x:c r="V33" s="20" t="str">
        <x:f>IF(A33="","",IF(AND(P33&lt;&gt;"Closed",Q33&lt;TODAY()),"YES","NO"))</x:f>
      </x:c>
    </x:row>
    <x:row r="34">
      <x:c r="A34" s="20"/>
      <x:c r="B34" s="20"/>
      <x:c r="C34" s="20"/>
      <x:c r="D34" s="20"/>
      <x:c r="E34" s="20"/>
      <x:c r="F34" s="20"/>
      <x:c r="G34" s="20"/>
      <x:c r="H34" s="20"/>
      <x:c r="I34" s="20"/>
      <x:c r="J34" s="20"/>
      <x:c r="K34" s="20"/>
      <x:c r="L34" s="20"/>
      <x:c r="M34" s="20"/>
      <x:c r="N34" s="20"/>
      <x:c r="O34" s="20"/>
      <x:c r="P34" s="20"/>
      <x:c r="Q34" s="23"/>
      <x:c r="R34" s="20"/>
      <x:c r="S34" s="20"/>
      <x:c r="T34" s="20"/>
      <x:c r="U34" s="23"/>
      <x:c r="V34" s="20" t="str">
        <x:f>IF(A34="","",IF(AND(P34&lt;&gt;"Closed",Q34&lt;TODAY()),"YES","NO"))</x:f>
      </x:c>
    </x:row>
    <x:row r="35">
      <x:c r="A35" s="20"/>
      <x:c r="B35" s="20"/>
      <x:c r="C35" s="20"/>
      <x:c r="D35" s="20"/>
      <x:c r="E35" s="20"/>
      <x:c r="F35" s="20"/>
      <x:c r="G35" s="20"/>
      <x:c r="H35" s="20"/>
      <x:c r="I35" s="20"/>
      <x:c r="J35" s="20"/>
      <x:c r="K35" s="20"/>
      <x:c r="L35" s="20"/>
      <x:c r="M35" s="20"/>
      <x:c r="N35" s="20"/>
      <x:c r="O35" s="20"/>
      <x:c r="P35" s="20"/>
      <x:c r="Q35" s="23"/>
      <x:c r="R35" s="20"/>
      <x:c r="S35" s="20"/>
      <x:c r="T35" s="20"/>
      <x:c r="U35" s="23"/>
      <x:c r="V35" s="20" t="str">
        <x:f>IF(A35="","",IF(AND(P35&lt;&gt;"Closed",Q35&lt;TODAY()),"YES","NO"))</x:f>
      </x:c>
    </x:row>
    <x:row r="36">
      <x:c r="A36" s="20"/>
      <x:c r="B36" s="20"/>
      <x:c r="C36" s="20"/>
      <x:c r="D36" s="20"/>
      <x:c r="E36" s="20"/>
      <x:c r="F36" s="20"/>
      <x:c r="G36" s="20"/>
      <x:c r="H36" s="20"/>
      <x:c r="I36" s="20"/>
      <x:c r="J36" s="20"/>
      <x:c r="K36" s="20"/>
      <x:c r="L36" s="20"/>
      <x:c r="M36" s="20"/>
      <x:c r="N36" s="20"/>
      <x:c r="O36" s="20"/>
      <x:c r="P36" s="20"/>
      <x:c r="Q36" s="23"/>
      <x:c r="R36" s="20"/>
      <x:c r="S36" s="20"/>
      <x:c r="T36" s="20"/>
      <x:c r="U36" s="23"/>
      <x:c r="V36" s="20" t="str">
        <x:f>IF(A36="","",IF(AND(P36&lt;&gt;"Closed",Q36&lt;TODAY()),"YES","NO"))</x:f>
      </x:c>
    </x:row>
    <x:row r="37">
      <x:c r="A37" s="20"/>
      <x:c r="B37" s="20"/>
      <x:c r="C37" s="20"/>
      <x:c r="D37" s="20"/>
      <x:c r="E37" s="20"/>
      <x:c r="F37" s="20"/>
      <x:c r="G37" s="20"/>
      <x:c r="H37" s="20"/>
      <x:c r="I37" s="20"/>
      <x:c r="J37" s="20"/>
      <x:c r="K37" s="20"/>
      <x:c r="L37" s="20"/>
      <x:c r="M37" s="20"/>
      <x:c r="N37" s="20"/>
      <x:c r="O37" s="20"/>
      <x:c r="P37" s="20"/>
      <x:c r="Q37" s="23"/>
      <x:c r="R37" s="20"/>
      <x:c r="S37" s="20"/>
      <x:c r="T37" s="20"/>
      <x:c r="U37" s="23"/>
      <x:c r="V37" s="20" t="str">
        <x:f>IF(A37="","",IF(AND(P37&lt;&gt;"Closed",Q37&lt;TODAY()),"YES","NO"))</x:f>
      </x:c>
    </x:row>
    <x:row r="38">
      <x:c r="A38" s="20"/>
      <x:c r="B38" s="20"/>
      <x:c r="C38" s="20"/>
      <x:c r="D38" s="20"/>
      <x:c r="E38" s="20"/>
      <x:c r="F38" s="20"/>
      <x:c r="G38" s="20"/>
      <x:c r="H38" s="20"/>
      <x:c r="I38" s="20"/>
      <x:c r="J38" s="20"/>
      <x:c r="K38" s="20"/>
      <x:c r="L38" s="20"/>
      <x:c r="M38" s="20"/>
      <x:c r="N38" s="20"/>
      <x:c r="O38" s="20"/>
      <x:c r="P38" s="20"/>
      <x:c r="Q38" s="23"/>
      <x:c r="R38" s="20"/>
      <x:c r="S38" s="20"/>
      <x:c r="T38" s="20"/>
      <x:c r="U38" s="23"/>
      <x:c r="V38" s="20" t="str">
        <x:f>IF(A38="","",IF(AND(P38&lt;&gt;"Closed",Q38&lt;TODAY()),"YES","NO"))</x:f>
      </x:c>
    </x:row>
    <x:row r="39">
      <x:c r="A39" s="20"/>
      <x:c r="B39" s="20"/>
      <x:c r="C39" s="20"/>
      <x:c r="D39" s="20"/>
      <x:c r="E39" s="20"/>
      <x:c r="F39" s="20"/>
      <x:c r="G39" s="20"/>
      <x:c r="H39" s="20"/>
      <x:c r="I39" s="20"/>
      <x:c r="J39" s="20"/>
      <x:c r="K39" s="20"/>
      <x:c r="L39" s="20"/>
      <x:c r="M39" s="20"/>
      <x:c r="N39" s="20"/>
      <x:c r="O39" s="20"/>
      <x:c r="P39" s="20"/>
      <x:c r="Q39" s="23"/>
      <x:c r="R39" s="20"/>
      <x:c r="S39" s="20"/>
      <x:c r="T39" s="20"/>
      <x:c r="U39" s="23"/>
      <x:c r="V39" s="20" t="str">
        <x:f>IF(A39="","",IF(AND(P39&lt;&gt;"Closed",Q39&lt;TODAY()),"YES","NO"))</x:f>
      </x:c>
    </x:row>
    <x:row r="40">
      <x:c r="A40" s="20"/>
      <x:c r="B40" s="20"/>
      <x:c r="C40" s="20"/>
      <x:c r="D40" s="20"/>
      <x:c r="E40" s="20"/>
      <x:c r="F40" s="20"/>
      <x:c r="G40" s="20"/>
      <x:c r="H40" s="20"/>
      <x:c r="I40" s="20"/>
      <x:c r="J40" s="20"/>
      <x:c r="K40" s="20"/>
      <x:c r="L40" s="20"/>
      <x:c r="M40" s="20"/>
      <x:c r="N40" s="20"/>
      <x:c r="O40" s="20"/>
      <x:c r="P40" s="20"/>
      <x:c r="Q40" s="23"/>
      <x:c r="R40" s="20"/>
      <x:c r="S40" s="20"/>
      <x:c r="T40" s="20"/>
      <x:c r="U40" s="23"/>
      <x:c r="V40" s="20" t="str">
        <x:f>IF(A40="","",IF(AND(P40&lt;&gt;"Closed",Q40&lt;TODAY()),"YES","NO"))</x:f>
      </x:c>
    </x:row>
    <x:row r="41">
      <x:c r="A41" s="20"/>
      <x:c r="B41" s="20"/>
      <x:c r="C41" s="20"/>
      <x:c r="D41" s="20"/>
      <x:c r="E41" s="20"/>
      <x:c r="F41" s="20"/>
      <x:c r="G41" s="20"/>
      <x:c r="H41" s="20"/>
      <x:c r="I41" s="20"/>
      <x:c r="J41" s="20"/>
      <x:c r="K41" s="20"/>
      <x:c r="L41" s="20"/>
      <x:c r="M41" s="20"/>
      <x:c r="N41" s="20"/>
      <x:c r="O41" s="20"/>
      <x:c r="P41" s="20"/>
      <x:c r="Q41" s="23"/>
      <x:c r="R41" s="20"/>
      <x:c r="S41" s="20"/>
      <x:c r="T41" s="20"/>
      <x:c r="U41" s="23"/>
      <x:c r="V41" s="20" t="str">
        <x:f>IF(A41="","",IF(AND(P41&lt;&gt;"Closed",Q41&lt;TODAY()),"YES","NO"))</x:f>
      </x:c>
    </x:row>
    <x:row r="42">
      <x:c r="A42" s="20"/>
      <x:c r="B42" s="20"/>
      <x:c r="C42" s="20"/>
      <x:c r="D42" s="20"/>
      <x:c r="E42" s="20"/>
      <x:c r="F42" s="20"/>
      <x:c r="G42" s="20"/>
      <x:c r="H42" s="20"/>
      <x:c r="I42" s="20"/>
      <x:c r="J42" s="20"/>
      <x:c r="K42" s="20"/>
      <x:c r="L42" s="20"/>
      <x:c r="M42" s="20"/>
      <x:c r="N42" s="20"/>
      <x:c r="O42" s="20"/>
      <x:c r="P42" s="20"/>
      <x:c r="Q42" s="23"/>
      <x:c r="R42" s="20"/>
      <x:c r="S42" s="20"/>
      <x:c r="T42" s="20"/>
      <x:c r="U42" s="23"/>
      <x:c r="V42" s="20" t="str">
        <x:f>IF(A42="","",IF(AND(P42&lt;&gt;"Closed",Q42&lt;TODAY()),"YES","NO"))</x:f>
      </x:c>
    </x:row>
    <x:row r="43">
      <x:c r="A43" s="20"/>
      <x:c r="B43" s="20"/>
      <x:c r="C43" s="20"/>
      <x:c r="D43" s="20"/>
      <x:c r="E43" s="20"/>
      <x:c r="F43" s="20"/>
      <x:c r="G43" s="20"/>
      <x:c r="H43" s="20"/>
      <x:c r="I43" s="20"/>
      <x:c r="J43" s="20"/>
      <x:c r="K43" s="20"/>
      <x:c r="L43" s="20"/>
      <x:c r="M43" s="20"/>
      <x:c r="N43" s="20"/>
      <x:c r="O43" s="20"/>
      <x:c r="P43" s="20"/>
      <x:c r="Q43" s="23"/>
      <x:c r="R43" s="20"/>
      <x:c r="S43" s="20"/>
      <x:c r="T43" s="20"/>
      <x:c r="U43" s="23"/>
      <x:c r="V43" s="20" t="str">
        <x:f>IF(A43="","",IF(AND(P43&lt;&gt;"Closed",Q43&lt;TODAY()),"YES","NO"))</x:f>
      </x:c>
    </x:row>
    <x:row r="44">
      <x:c r="A44" s="20"/>
      <x:c r="B44" s="20"/>
      <x:c r="C44" s="20"/>
      <x:c r="D44" s="20"/>
      <x:c r="E44" s="20"/>
      <x:c r="F44" s="20"/>
      <x:c r="G44" s="20"/>
      <x:c r="H44" s="20"/>
      <x:c r="I44" s="20"/>
      <x:c r="J44" s="20"/>
      <x:c r="K44" s="20"/>
      <x:c r="L44" s="20"/>
      <x:c r="M44" s="20"/>
      <x:c r="N44" s="20"/>
      <x:c r="O44" s="20"/>
      <x:c r="P44" s="20"/>
      <x:c r="Q44" s="23"/>
      <x:c r="R44" s="20"/>
      <x:c r="S44" s="20"/>
      <x:c r="T44" s="20"/>
      <x:c r="U44" s="23"/>
      <x:c r="V44" s="20" t="str">
        <x:f>IF(A44="","",IF(AND(P44&lt;&gt;"Closed",Q44&lt;TODAY()),"YES","NO"))</x:f>
      </x:c>
    </x:row>
    <x:row r="45">
      <x:c r="A45" s="20"/>
      <x:c r="B45" s="20"/>
      <x:c r="C45" s="20"/>
      <x:c r="D45" s="20"/>
      <x:c r="E45" s="20"/>
      <x:c r="F45" s="20"/>
      <x:c r="G45" s="20"/>
      <x:c r="H45" s="20"/>
      <x:c r="I45" s="20"/>
      <x:c r="J45" s="20"/>
      <x:c r="K45" s="20"/>
      <x:c r="L45" s="20"/>
      <x:c r="M45" s="20"/>
      <x:c r="N45" s="20"/>
      <x:c r="O45" s="20"/>
      <x:c r="P45" s="20"/>
      <x:c r="Q45" s="23"/>
      <x:c r="R45" s="20"/>
      <x:c r="S45" s="20"/>
      <x:c r="T45" s="20"/>
      <x:c r="U45" s="23"/>
      <x:c r="V45" s="20" t="str">
        <x:f>IF(A45="","",IF(AND(P45&lt;&gt;"Closed",Q45&lt;TODAY()),"YES","NO"))</x:f>
      </x:c>
    </x:row>
    <x:row r="46">
      <x:c r="A46" s="20"/>
      <x:c r="B46" s="20"/>
      <x:c r="C46" s="20"/>
      <x:c r="D46" s="20"/>
      <x:c r="E46" s="20"/>
      <x:c r="F46" s="20"/>
      <x:c r="G46" s="20"/>
      <x:c r="H46" s="20"/>
      <x:c r="I46" s="20"/>
      <x:c r="J46" s="20"/>
      <x:c r="K46" s="20"/>
      <x:c r="L46" s="20"/>
      <x:c r="M46" s="20"/>
      <x:c r="N46" s="20"/>
      <x:c r="O46" s="20"/>
      <x:c r="P46" s="20"/>
      <x:c r="Q46" s="23"/>
      <x:c r="R46" s="20"/>
      <x:c r="S46" s="20"/>
      <x:c r="T46" s="20"/>
      <x:c r="U46" s="23"/>
      <x:c r="V46" s="20" t="str">
        <x:f>IF(A46="","",IF(AND(P46&lt;&gt;"Closed",Q46&lt;TODAY()),"YES","NO"))</x:f>
      </x:c>
    </x:row>
    <x:row r="47">
      <x:c r="A47" s="20"/>
      <x:c r="B47" s="20"/>
      <x:c r="C47" s="20"/>
      <x:c r="D47" s="20"/>
      <x:c r="E47" s="20"/>
      <x:c r="F47" s="20"/>
      <x:c r="G47" s="20"/>
      <x:c r="H47" s="20"/>
      <x:c r="I47" s="20"/>
      <x:c r="J47" s="20"/>
      <x:c r="K47" s="20"/>
      <x:c r="L47" s="20"/>
      <x:c r="M47" s="20"/>
      <x:c r="N47" s="20"/>
      <x:c r="O47" s="20"/>
      <x:c r="P47" s="20"/>
      <x:c r="Q47" s="23"/>
      <x:c r="R47" s="20"/>
      <x:c r="S47" s="20"/>
      <x:c r="T47" s="20"/>
      <x:c r="U47" s="23"/>
      <x:c r="V47" s="20" t="str">
        <x:f>IF(A47="","",IF(AND(P47&lt;&gt;"Closed",Q47&lt;TODAY()),"YES","NO"))</x:f>
      </x:c>
    </x:row>
    <x:row r="48">
      <x:c r="A48" s="20"/>
      <x:c r="B48" s="20"/>
      <x:c r="C48" s="20"/>
      <x:c r="D48" s="20"/>
      <x:c r="E48" s="20"/>
      <x:c r="F48" s="20"/>
      <x:c r="G48" s="20"/>
      <x:c r="H48" s="20"/>
      <x:c r="I48" s="20"/>
      <x:c r="J48" s="20"/>
      <x:c r="K48" s="20"/>
      <x:c r="L48" s="20"/>
      <x:c r="M48" s="20"/>
      <x:c r="N48" s="20"/>
      <x:c r="O48" s="20"/>
      <x:c r="P48" s="20"/>
      <x:c r="Q48" s="23"/>
      <x:c r="R48" s="20"/>
      <x:c r="S48" s="20"/>
      <x:c r="T48" s="20"/>
      <x:c r="U48" s="23"/>
      <x:c r="V48" s="20" t="str">
        <x:f>IF(A48="","",IF(AND(P48&lt;&gt;"Closed",Q48&lt;TODAY()),"YES","NO"))</x:f>
      </x:c>
    </x:row>
    <x:row r="49">
      <x:c r="A49" s="20"/>
      <x:c r="B49" s="20"/>
      <x:c r="C49" s="20"/>
      <x:c r="D49" s="20"/>
      <x:c r="E49" s="20"/>
      <x:c r="F49" s="20"/>
      <x:c r="G49" s="20"/>
      <x:c r="H49" s="20"/>
      <x:c r="I49" s="20"/>
      <x:c r="J49" s="20"/>
      <x:c r="K49" s="20"/>
      <x:c r="L49" s="20"/>
      <x:c r="M49" s="20"/>
      <x:c r="N49" s="20"/>
      <x:c r="O49" s="20"/>
      <x:c r="P49" s="20"/>
      <x:c r="Q49" s="23"/>
      <x:c r="R49" s="20"/>
      <x:c r="S49" s="20"/>
      <x:c r="T49" s="20"/>
      <x:c r="U49" s="23"/>
      <x:c r="V49" s="20" t="str">
        <x:f>IF(A49="","",IF(AND(P49&lt;&gt;"Closed",Q49&lt;TODAY()),"YES","NO"))</x:f>
      </x:c>
    </x:row>
    <x:row r="50">
      <x:c r="A50" s="20"/>
      <x:c r="B50" s="20"/>
      <x:c r="C50" s="20"/>
      <x:c r="D50" s="20"/>
      <x:c r="E50" s="20"/>
      <x:c r="F50" s="20"/>
      <x:c r="G50" s="20"/>
      <x:c r="H50" s="20"/>
      <x:c r="I50" s="20"/>
      <x:c r="J50" s="20"/>
      <x:c r="K50" s="20"/>
      <x:c r="L50" s="20"/>
      <x:c r="M50" s="20"/>
      <x:c r="N50" s="20"/>
      <x:c r="O50" s="20"/>
      <x:c r="P50" s="20"/>
      <x:c r="Q50" s="23"/>
      <x:c r="R50" s="20"/>
      <x:c r="S50" s="20"/>
      <x:c r="T50" s="20"/>
      <x:c r="U50" s="23"/>
      <x:c r="V50" s="20" t="str">
        <x:f>IF(A50="","",IF(AND(P50&lt;&gt;"Closed",Q50&lt;TODAY()),"YES","NO"))</x:f>
      </x:c>
    </x:row>
    <x:row r="51">
      <x:c r="A51" s="20"/>
      <x:c r="B51" s="20"/>
      <x:c r="C51" s="20"/>
      <x:c r="D51" s="20"/>
      <x:c r="E51" s="20"/>
      <x:c r="F51" s="20"/>
      <x:c r="G51" s="20"/>
      <x:c r="H51" s="20"/>
      <x:c r="I51" s="20"/>
      <x:c r="J51" s="20"/>
      <x:c r="K51" s="20"/>
      <x:c r="L51" s="20"/>
      <x:c r="M51" s="20"/>
      <x:c r="N51" s="20"/>
      <x:c r="O51" s="20"/>
      <x:c r="P51" s="20"/>
      <x:c r="Q51" s="23"/>
      <x:c r="R51" s="20"/>
      <x:c r="S51" s="20"/>
      <x:c r="T51" s="20"/>
      <x:c r="U51" s="23"/>
      <x:c r="V51" s="20" t="str">
        <x:f>IF(A51="","",IF(AND(P51&lt;&gt;"Closed",Q51&lt;TODAY()),"YES","NO"))</x:f>
      </x:c>
    </x:row>
    <x:row r="52">
      <x:c r="A52" s="20"/>
      <x:c r="B52" s="20"/>
      <x:c r="C52" s="20"/>
      <x:c r="D52" s="20"/>
      <x:c r="E52" s="20"/>
      <x:c r="F52" s="20"/>
      <x:c r="G52" s="20"/>
      <x:c r="H52" s="20"/>
      <x:c r="I52" s="20"/>
      <x:c r="J52" s="20"/>
      <x:c r="K52" s="20"/>
      <x:c r="L52" s="20"/>
      <x:c r="M52" s="20"/>
      <x:c r="N52" s="20"/>
      <x:c r="O52" s="20"/>
      <x:c r="P52" s="20"/>
      <x:c r="Q52" s="23"/>
      <x:c r="R52" s="20"/>
      <x:c r="S52" s="20"/>
      <x:c r="T52" s="20"/>
      <x:c r="U52" s="23"/>
      <x:c r="V52" s="20" t="str">
        <x:f>IF(A52="","",IF(AND(P52&lt;&gt;"Closed",Q52&lt;TODAY()),"YES","NO"))</x:f>
      </x:c>
    </x:row>
    <x:row r="53">
      <x:c r="A53" s="20"/>
      <x:c r="B53" s="20"/>
      <x:c r="C53" s="20"/>
      <x:c r="D53" s="20"/>
      <x:c r="E53" s="20"/>
      <x:c r="F53" s="20"/>
      <x:c r="G53" s="20"/>
      <x:c r="H53" s="20"/>
      <x:c r="I53" s="20"/>
      <x:c r="J53" s="20"/>
      <x:c r="K53" s="20"/>
      <x:c r="L53" s="20"/>
      <x:c r="M53" s="20"/>
      <x:c r="N53" s="20"/>
      <x:c r="O53" s="20"/>
      <x:c r="P53" s="20"/>
      <x:c r="Q53" s="23"/>
      <x:c r="R53" s="20"/>
      <x:c r="S53" s="20"/>
      <x:c r="T53" s="20"/>
      <x:c r="U53" s="23"/>
      <x:c r="V53" s="20" t="str">
        <x:f>IF(A53="","",IF(AND(P53&lt;&gt;"Closed",Q53&lt;TODAY()),"YES","NO"))</x:f>
      </x:c>
    </x:row>
    <x:row r="54">
      <x:c r="A54" s="20"/>
      <x:c r="B54" s="20"/>
      <x:c r="C54" s="20"/>
      <x:c r="D54" s="20"/>
      <x:c r="E54" s="20"/>
      <x:c r="F54" s="20"/>
      <x:c r="G54" s="20"/>
      <x:c r="H54" s="20"/>
      <x:c r="I54" s="20"/>
      <x:c r="J54" s="20"/>
      <x:c r="K54" s="20"/>
      <x:c r="L54" s="20"/>
      <x:c r="M54" s="20"/>
      <x:c r="N54" s="20"/>
      <x:c r="O54" s="20"/>
      <x:c r="P54" s="20"/>
      <x:c r="Q54" s="23"/>
      <x:c r="R54" s="20"/>
      <x:c r="S54" s="20"/>
      <x:c r="T54" s="20"/>
      <x:c r="U54" s="23"/>
      <x:c r="V54" s="20" t="str">
        <x:f>IF(A54="","",IF(AND(P54&lt;&gt;"Closed",Q54&lt;TODAY()),"YES","NO"))</x:f>
      </x:c>
    </x:row>
    <x:row r="55">
      <x:c r="A55" s="20"/>
      <x:c r="B55" s="20"/>
      <x:c r="C55" s="20"/>
      <x:c r="D55" s="20"/>
      <x:c r="E55" s="20"/>
      <x:c r="F55" s="20"/>
      <x:c r="G55" s="20"/>
      <x:c r="H55" s="20"/>
      <x:c r="I55" s="20"/>
      <x:c r="J55" s="20"/>
      <x:c r="K55" s="20"/>
      <x:c r="L55" s="20"/>
      <x:c r="M55" s="20"/>
      <x:c r="N55" s="20"/>
      <x:c r="O55" s="20"/>
      <x:c r="P55" s="20"/>
      <x:c r="Q55" s="23"/>
      <x:c r="R55" s="20"/>
      <x:c r="S55" s="20"/>
      <x:c r="T55" s="20"/>
      <x:c r="U55" s="23"/>
      <x:c r="V55" s="20" t="str">
        <x:f>IF(A55="","",IF(AND(P55&lt;&gt;"Closed",Q55&lt;TODAY()),"YES","NO"))</x:f>
      </x:c>
    </x:row>
    <x:row r="56">
      <x:c r="A56" s="20"/>
      <x:c r="B56" s="20"/>
      <x:c r="C56" s="20"/>
      <x:c r="D56" s="20"/>
      <x:c r="E56" s="20"/>
      <x:c r="F56" s="20"/>
      <x:c r="G56" s="20"/>
      <x:c r="H56" s="20"/>
      <x:c r="I56" s="20"/>
      <x:c r="J56" s="20"/>
      <x:c r="K56" s="20"/>
      <x:c r="L56" s="20"/>
      <x:c r="M56" s="20"/>
      <x:c r="N56" s="20"/>
      <x:c r="O56" s="20"/>
      <x:c r="P56" s="20"/>
      <x:c r="Q56" s="23"/>
      <x:c r="R56" s="20"/>
      <x:c r="S56" s="20"/>
      <x:c r="T56" s="20"/>
      <x:c r="U56" s="23"/>
      <x:c r="V56" s="20" t="str">
        <x:f>IF(A56="","",IF(AND(P56&lt;&gt;"Closed",Q56&lt;TODAY()),"YES","NO"))</x:f>
      </x:c>
    </x:row>
    <x:row r="57">
      <x:c r="A57" s="20"/>
      <x:c r="B57" s="20"/>
      <x:c r="C57" s="20"/>
      <x:c r="D57" s="20"/>
      <x:c r="E57" s="20"/>
      <x:c r="F57" s="20"/>
      <x:c r="G57" s="20"/>
      <x:c r="H57" s="20"/>
      <x:c r="I57" s="20"/>
      <x:c r="J57" s="20"/>
      <x:c r="K57" s="20"/>
      <x:c r="L57" s="20"/>
      <x:c r="M57" s="20"/>
      <x:c r="N57" s="20"/>
      <x:c r="O57" s="20"/>
      <x:c r="P57" s="20"/>
      <x:c r="Q57" s="23"/>
      <x:c r="R57" s="20"/>
      <x:c r="S57" s="20"/>
      <x:c r="T57" s="20"/>
      <x:c r="U57" s="23"/>
      <x:c r="V57" s="20" t="str">
        <x:f>IF(A57="","",IF(AND(P57&lt;&gt;"Closed",Q57&lt;TODAY()),"YES","NO"))</x:f>
      </x:c>
    </x:row>
    <x:row r="58">
      <x:c r="A58" s="20"/>
      <x:c r="B58" s="20"/>
      <x:c r="C58" s="20"/>
      <x:c r="D58" s="20"/>
      <x:c r="E58" s="20"/>
      <x:c r="F58" s="20"/>
      <x:c r="G58" s="20"/>
      <x:c r="H58" s="20"/>
      <x:c r="I58" s="20"/>
      <x:c r="J58" s="20"/>
      <x:c r="K58" s="20"/>
      <x:c r="L58" s="20"/>
      <x:c r="M58" s="20"/>
      <x:c r="N58" s="20"/>
      <x:c r="O58" s="20"/>
      <x:c r="P58" s="20"/>
      <x:c r="Q58" s="23"/>
      <x:c r="R58" s="20"/>
      <x:c r="S58" s="20"/>
      <x:c r="T58" s="20"/>
      <x:c r="U58" s="23"/>
      <x:c r="V58" s="20" t="str">
        <x:f>IF(A58="","",IF(AND(P58&lt;&gt;"Closed",Q58&lt;TODAY()),"YES","NO"))</x:f>
      </x:c>
    </x:row>
    <x:row r="59">
      <x:c r="A59" s="20"/>
      <x:c r="B59" s="20"/>
      <x:c r="C59" s="20"/>
      <x:c r="D59" s="20"/>
      <x:c r="E59" s="20"/>
      <x:c r="F59" s="20"/>
      <x:c r="G59" s="20"/>
      <x:c r="H59" s="20"/>
      <x:c r="I59" s="20"/>
      <x:c r="J59" s="20"/>
      <x:c r="K59" s="20"/>
      <x:c r="L59" s="20"/>
      <x:c r="M59" s="20"/>
      <x:c r="N59" s="20"/>
      <x:c r="O59" s="20"/>
      <x:c r="P59" s="20"/>
      <x:c r="Q59" s="23"/>
      <x:c r="R59" s="20"/>
      <x:c r="S59" s="20"/>
      <x:c r="T59" s="20"/>
      <x:c r="U59" s="23"/>
      <x:c r="V59" s="20" t="str">
        <x:f>IF(A59="","",IF(AND(P59&lt;&gt;"Closed",Q59&lt;TODAY()),"YES","NO"))</x:f>
      </x:c>
    </x:row>
    <x:row r="60">
      <x:c r="A60" s="20"/>
      <x:c r="B60" s="20"/>
      <x:c r="C60" s="20"/>
      <x:c r="D60" s="20"/>
      <x:c r="E60" s="20"/>
      <x:c r="F60" s="20"/>
      <x:c r="G60" s="20"/>
      <x:c r="H60" s="20"/>
      <x:c r="I60" s="20"/>
      <x:c r="J60" s="20"/>
      <x:c r="K60" s="20"/>
      <x:c r="L60" s="20"/>
      <x:c r="M60" s="20"/>
      <x:c r="N60" s="20"/>
      <x:c r="O60" s="20"/>
      <x:c r="P60" s="20"/>
      <x:c r="Q60" s="23"/>
      <x:c r="R60" s="20"/>
      <x:c r="S60" s="20"/>
      <x:c r="T60" s="20"/>
      <x:c r="U60" s="23"/>
      <x:c r="V60" s="20" t="str">
        <x:f>IF(A60="","",IF(AND(P60&lt;&gt;"Closed",Q60&lt;TODAY()),"YES","NO"))</x:f>
      </x:c>
    </x:row>
    <x:row r="61">
      <x:c r="A61" s="20"/>
      <x:c r="B61" s="20"/>
      <x:c r="C61" s="20"/>
      <x:c r="D61" s="20"/>
      <x:c r="E61" s="20"/>
      <x:c r="F61" s="20"/>
      <x:c r="G61" s="20"/>
      <x:c r="H61" s="20"/>
      <x:c r="I61" s="20"/>
      <x:c r="J61" s="20"/>
      <x:c r="K61" s="20"/>
      <x:c r="L61" s="20"/>
      <x:c r="M61" s="20"/>
      <x:c r="N61" s="20"/>
      <x:c r="O61" s="20"/>
      <x:c r="P61" s="20"/>
      <x:c r="Q61" s="23"/>
      <x:c r="R61" s="20"/>
      <x:c r="S61" s="20"/>
      <x:c r="T61" s="20"/>
      <x:c r="U61" s="23"/>
      <x:c r="V61" s="20" t="str">
        <x:f>IF(A61="","",IF(AND(P61&lt;&gt;"Closed",Q61&lt;TODAY()),"YES","NO"))</x:f>
      </x:c>
    </x:row>
    <x:row r="62">
      <x:c r="A62" s="20"/>
      <x:c r="B62" s="20"/>
      <x:c r="C62" s="20"/>
      <x:c r="D62" s="20"/>
      <x:c r="E62" s="20"/>
      <x:c r="F62" s="20"/>
      <x:c r="G62" s="20"/>
      <x:c r="H62" s="20"/>
      <x:c r="I62" s="20"/>
      <x:c r="J62" s="20"/>
      <x:c r="K62" s="20"/>
      <x:c r="L62" s="20"/>
      <x:c r="M62" s="20"/>
      <x:c r="N62" s="20"/>
      <x:c r="O62" s="20"/>
      <x:c r="P62" s="20"/>
      <x:c r="Q62" s="23"/>
      <x:c r="R62" s="20"/>
      <x:c r="S62" s="20"/>
      <x:c r="T62" s="20"/>
      <x:c r="U62" s="23"/>
      <x:c r="V62" s="20" t="str">
        <x:f>IF(A62="","",IF(AND(P62&lt;&gt;"Closed",Q62&lt;TODAY()),"YES","NO"))</x:f>
      </x:c>
    </x:row>
    <x:row r="63">
      <x:c r="A63" s="20"/>
      <x:c r="B63" s="20"/>
      <x:c r="C63" s="20"/>
      <x:c r="D63" s="20"/>
      <x:c r="E63" s="20"/>
      <x:c r="F63" s="20"/>
      <x:c r="G63" s="20"/>
      <x:c r="H63" s="20"/>
      <x:c r="I63" s="20"/>
      <x:c r="J63" s="20"/>
      <x:c r="K63" s="20"/>
      <x:c r="L63" s="20"/>
      <x:c r="M63" s="20"/>
      <x:c r="N63" s="20"/>
      <x:c r="O63" s="20"/>
      <x:c r="P63" s="20"/>
      <x:c r="Q63" s="23"/>
      <x:c r="R63" s="20"/>
      <x:c r="S63" s="20"/>
      <x:c r="T63" s="20"/>
      <x:c r="U63" s="23"/>
      <x:c r="V63" s="20" t="str">
        <x:f>IF(A63="","",IF(AND(P63&lt;&gt;"Closed",Q63&lt;TODAY()),"YES","NO"))</x:f>
      </x:c>
    </x:row>
    <x:row r="64">
      <x:c r="A64" s="20"/>
      <x:c r="B64" s="20"/>
      <x:c r="C64" s="20"/>
      <x:c r="D64" s="20"/>
      <x:c r="E64" s="20"/>
      <x:c r="F64" s="20"/>
      <x:c r="G64" s="20"/>
      <x:c r="H64" s="20"/>
      <x:c r="I64" s="20"/>
      <x:c r="J64" s="20"/>
      <x:c r="K64" s="20"/>
      <x:c r="L64" s="20"/>
      <x:c r="M64" s="20"/>
      <x:c r="N64" s="20"/>
      <x:c r="O64" s="20"/>
      <x:c r="P64" s="20"/>
      <x:c r="Q64" s="23"/>
      <x:c r="R64" s="20"/>
      <x:c r="S64" s="20"/>
      <x:c r="T64" s="20"/>
      <x:c r="U64" s="23"/>
      <x:c r="V64" s="20" t="str">
        <x:f>IF(A64="","",IF(AND(P64&lt;&gt;"Closed",Q64&lt;TODAY()),"YES","NO"))</x:f>
      </x:c>
    </x:row>
    <x:row r="65">
      <x:c r="A65" s="20"/>
      <x:c r="B65" s="20"/>
      <x:c r="C65" s="20"/>
      <x:c r="D65" s="20"/>
      <x:c r="E65" s="20"/>
      <x:c r="F65" s="20"/>
      <x:c r="G65" s="20"/>
      <x:c r="H65" s="20"/>
      <x:c r="I65" s="20"/>
      <x:c r="J65" s="20"/>
      <x:c r="K65" s="20"/>
      <x:c r="L65" s="20"/>
      <x:c r="M65" s="20"/>
      <x:c r="N65" s="20"/>
      <x:c r="O65" s="20"/>
      <x:c r="P65" s="20"/>
      <x:c r="Q65" s="23"/>
      <x:c r="R65" s="20"/>
      <x:c r="S65" s="20"/>
      <x:c r="T65" s="20"/>
      <x:c r="U65" s="23"/>
      <x:c r="V65" s="20" t="str">
        <x:f>IF(A65="","",IF(AND(P65&lt;&gt;"Closed",Q65&lt;TODAY()),"YES","NO"))</x:f>
      </x:c>
    </x:row>
    <x:row r="66">
      <x:c r="A66" s="20"/>
      <x:c r="B66" s="20"/>
      <x:c r="C66" s="20"/>
      <x:c r="D66" s="20"/>
      <x:c r="E66" s="20"/>
      <x:c r="F66" s="20"/>
      <x:c r="G66" s="20"/>
      <x:c r="H66" s="20"/>
      <x:c r="I66" s="20"/>
      <x:c r="J66" s="20"/>
      <x:c r="K66" s="20"/>
      <x:c r="L66" s="20"/>
      <x:c r="M66" s="20"/>
      <x:c r="N66" s="20"/>
      <x:c r="O66" s="20"/>
      <x:c r="P66" s="20"/>
      <x:c r="Q66" s="23"/>
      <x:c r="R66" s="20"/>
      <x:c r="S66" s="20"/>
      <x:c r="T66" s="20"/>
      <x:c r="U66" s="23"/>
      <x:c r="V66" s="20" t="str">
        <x:f>IF(A66="","",IF(AND(P66&lt;&gt;"Closed",Q66&lt;TODAY()),"YES","NO"))</x:f>
      </x:c>
    </x:row>
    <x:row r="67">
      <x:c r="A67" s="20"/>
      <x:c r="B67" s="20"/>
      <x:c r="C67" s="20"/>
      <x:c r="D67" s="20"/>
      <x:c r="E67" s="20"/>
      <x:c r="F67" s="20"/>
      <x:c r="G67" s="20"/>
      <x:c r="H67" s="20"/>
      <x:c r="I67" s="20"/>
      <x:c r="J67" s="20"/>
      <x:c r="K67" s="20"/>
      <x:c r="L67" s="20"/>
      <x:c r="M67" s="20"/>
      <x:c r="N67" s="20"/>
      <x:c r="O67" s="20"/>
      <x:c r="P67" s="20"/>
      <x:c r="Q67" s="23"/>
      <x:c r="R67" s="20"/>
      <x:c r="S67" s="20"/>
      <x:c r="T67" s="20"/>
      <x:c r="U67" s="23"/>
      <x:c r="V67" s="20" t="str">
        <x:f>IF(A67="","",IF(AND(P67&lt;&gt;"Closed",Q67&lt;TODAY()),"YES","NO"))</x:f>
      </x:c>
    </x:row>
    <x:row r="68">
      <x:c r="A68" s="20"/>
      <x:c r="B68" s="20"/>
      <x:c r="C68" s="20"/>
      <x:c r="D68" s="20"/>
      <x:c r="E68" s="20"/>
      <x:c r="F68" s="20"/>
      <x:c r="G68" s="20"/>
      <x:c r="H68" s="20"/>
      <x:c r="I68" s="20"/>
      <x:c r="J68" s="20"/>
      <x:c r="K68" s="20"/>
      <x:c r="L68" s="20"/>
      <x:c r="M68" s="20"/>
      <x:c r="N68" s="20"/>
      <x:c r="O68" s="20"/>
      <x:c r="P68" s="20"/>
      <x:c r="Q68" s="23"/>
      <x:c r="R68" s="20"/>
      <x:c r="S68" s="20"/>
      <x:c r="T68" s="20"/>
      <x:c r="U68" s="23"/>
      <x:c r="V68" s="20" t="str">
        <x:f>IF(A68="","",IF(AND(P68&lt;&gt;"Closed",Q68&lt;TODAY()),"YES","NO"))</x:f>
      </x:c>
    </x:row>
    <x:row r="69">
      <x:c r="A69" s="20"/>
      <x:c r="B69" s="20"/>
      <x:c r="C69" s="20"/>
      <x:c r="D69" s="20"/>
      <x:c r="E69" s="20"/>
      <x:c r="F69" s="20"/>
      <x:c r="G69" s="20"/>
      <x:c r="H69" s="20"/>
      <x:c r="I69" s="20"/>
      <x:c r="J69" s="20"/>
      <x:c r="K69" s="20"/>
      <x:c r="L69" s="20"/>
      <x:c r="M69" s="20"/>
      <x:c r="N69" s="20"/>
      <x:c r="O69" s="20"/>
      <x:c r="P69" s="20"/>
      <x:c r="Q69" s="23"/>
      <x:c r="R69" s="20"/>
      <x:c r="S69" s="20"/>
      <x:c r="T69" s="20"/>
      <x:c r="U69" s="23"/>
      <x:c r="V69" s="20" t="str">
        <x:f>IF(A69="","",IF(AND(P69&lt;&gt;"Closed",Q69&lt;TODAY()),"YES","NO"))</x:f>
      </x:c>
    </x:row>
    <x:row r="70">
      <x:c r="A70" s="20"/>
      <x:c r="B70" s="20"/>
      <x:c r="C70" s="20"/>
      <x:c r="D70" s="20"/>
      <x:c r="E70" s="20"/>
      <x:c r="F70" s="20"/>
      <x:c r="G70" s="20"/>
      <x:c r="H70" s="20"/>
      <x:c r="I70" s="20"/>
      <x:c r="J70" s="20"/>
      <x:c r="K70" s="20"/>
      <x:c r="L70" s="20"/>
      <x:c r="M70" s="20"/>
      <x:c r="N70" s="20"/>
      <x:c r="O70" s="20"/>
      <x:c r="P70" s="20"/>
      <x:c r="Q70" s="23"/>
      <x:c r="R70" s="20"/>
      <x:c r="S70" s="20"/>
      <x:c r="T70" s="20"/>
      <x:c r="U70" s="23"/>
      <x:c r="V70" s="20" t="str">
        <x:f>IF(A70="","",IF(AND(P70&lt;&gt;"Closed",Q70&lt;TODAY()),"YES","NO"))</x:f>
      </x:c>
    </x:row>
    <x:row r="71">
      <x:c r="A71" s="20"/>
      <x:c r="B71" s="20"/>
      <x:c r="C71" s="20"/>
      <x:c r="D71" s="20"/>
      <x:c r="E71" s="20"/>
      <x:c r="F71" s="20"/>
      <x:c r="G71" s="20"/>
      <x:c r="H71" s="20"/>
      <x:c r="I71" s="20"/>
      <x:c r="J71" s="20"/>
      <x:c r="K71" s="20"/>
      <x:c r="L71" s="20"/>
      <x:c r="M71" s="20"/>
      <x:c r="N71" s="20"/>
      <x:c r="O71" s="20"/>
      <x:c r="P71" s="20"/>
      <x:c r="Q71" s="23"/>
      <x:c r="R71" s="20"/>
      <x:c r="S71" s="20"/>
      <x:c r="T71" s="20"/>
      <x:c r="U71" s="23"/>
      <x:c r="V71" s="20" t="str">
        <x:f>IF(A71="","",IF(AND(P71&lt;&gt;"Closed",Q71&lt;TODAY()),"YES","NO"))</x:f>
      </x:c>
    </x:row>
    <x:row r="72">
      <x:c r="A72" s="20"/>
      <x:c r="B72" s="20"/>
      <x:c r="C72" s="20"/>
      <x:c r="D72" s="20"/>
      <x:c r="E72" s="20"/>
      <x:c r="F72" s="20"/>
      <x:c r="G72" s="20"/>
      <x:c r="H72" s="20"/>
      <x:c r="I72" s="20"/>
      <x:c r="J72" s="20"/>
      <x:c r="K72" s="20"/>
      <x:c r="L72" s="20"/>
      <x:c r="M72" s="20"/>
      <x:c r="N72" s="20"/>
      <x:c r="O72" s="20"/>
      <x:c r="P72" s="20"/>
      <x:c r="Q72" s="23"/>
      <x:c r="R72" s="20"/>
      <x:c r="S72" s="20"/>
      <x:c r="T72" s="20"/>
      <x:c r="U72" s="23"/>
      <x:c r="V72" s="20" t="str">
        <x:f>IF(A72="","",IF(AND(P72&lt;&gt;"Closed",Q72&lt;TODAY()),"YES","NO"))</x:f>
      </x:c>
    </x:row>
    <x:row r="73">
      <x:c r="A73" s="20"/>
      <x:c r="B73" s="20"/>
      <x:c r="C73" s="20"/>
      <x:c r="D73" s="20"/>
      <x:c r="E73" s="20"/>
      <x:c r="F73" s="20"/>
      <x:c r="G73" s="20"/>
      <x:c r="H73" s="20"/>
      <x:c r="I73" s="20"/>
      <x:c r="J73" s="20"/>
      <x:c r="K73" s="20"/>
      <x:c r="L73" s="20"/>
      <x:c r="M73" s="20"/>
      <x:c r="N73" s="20"/>
      <x:c r="O73" s="20"/>
      <x:c r="P73" s="20"/>
      <x:c r="Q73" s="23"/>
      <x:c r="R73" s="20"/>
      <x:c r="S73" s="20"/>
      <x:c r="T73" s="20"/>
      <x:c r="U73" s="23"/>
      <x:c r="V73" s="20" t="str">
        <x:f>IF(A73="","",IF(AND(P73&lt;&gt;"Closed",Q73&lt;TODAY()),"YES","NO"))</x:f>
      </x:c>
    </x:row>
    <x:row r="74">
      <x:c r="A74" s="20"/>
      <x:c r="B74" s="20"/>
      <x:c r="C74" s="20"/>
      <x:c r="D74" s="20"/>
      <x:c r="E74" s="20"/>
      <x:c r="F74" s="20"/>
      <x:c r="G74" s="20"/>
      <x:c r="H74" s="20"/>
      <x:c r="I74" s="20"/>
      <x:c r="J74" s="20"/>
      <x:c r="K74" s="20"/>
      <x:c r="L74" s="20"/>
      <x:c r="M74" s="20"/>
      <x:c r="N74" s="20"/>
      <x:c r="O74" s="20"/>
      <x:c r="P74" s="20"/>
      <x:c r="Q74" s="23"/>
      <x:c r="R74" s="20"/>
      <x:c r="S74" s="20"/>
      <x:c r="T74" s="20"/>
      <x:c r="U74" s="23"/>
      <x:c r="V74" s="20" t="str">
        <x:f>IF(A74="","",IF(AND(P74&lt;&gt;"Closed",Q74&lt;TODAY()),"YES","NO"))</x:f>
      </x:c>
    </x:row>
    <x:row r="75">
      <x:c r="A75" s="20"/>
      <x:c r="B75" s="20"/>
      <x:c r="C75" s="20"/>
      <x:c r="D75" s="20"/>
      <x:c r="E75" s="20"/>
      <x:c r="F75" s="20"/>
      <x:c r="G75" s="20"/>
      <x:c r="H75" s="20"/>
      <x:c r="I75" s="20"/>
      <x:c r="J75" s="20"/>
      <x:c r="K75" s="20"/>
      <x:c r="L75" s="20"/>
      <x:c r="M75" s="20"/>
      <x:c r="N75" s="20"/>
      <x:c r="O75" s="20"/>
      <x:c r="P75" s="20"/>
      <x:c r="Q75" s="23"/>
      <x:c r="R75" s="20"/>
      <x:c r="S75" s="20"/>
      <x:c r="T75" s="20"/>
      <x:c r="U75" s="23"/>
      <x:c r="V75" s="20" t="str">
        <x:f>IF(A75="","",IF(AND(P75&lt;&gt;"Closed",Q75&lt;TODAY()),"YES","NO"))</x:f>
      </x:c>
    </x:row>
    <x:row r="76">
      <x:c r="A76" s="20"/>
      <x:c r="B76" s="20"/>
      <x:c r="C76" s="20"/>
      <x:c r="D76" s="20"/>
      <x:c r="E76" s="20"/>
      <x:c r="F76" s="20"/>
      <x:c r="G76" s="20"/>
      <x:c r="H76" s="20"/>
      <x:c r="I76" s="20"/>
      <x:c r="J76" s="20"/>
      <x:c r="K76" s="20"/>
      <x:c r="L76" s="20"/>
      <x:c r="M76" s="20"/>
      <x:c r="N76" s="20"/>
      <x:c r="O76" s="20"/>
      <x:c r="P76" s="20"/>
      <x:c r="Q76" s="23"/>
      <x:c r="R76" s="20"/>
      <x:c r="S76" s="20"/>
      <x:c r="T76" s="20"/>
      <x:c r="U76" s="23"/>
      <x:c r="V76" s="20" t="str">
        <x:f>IF(A76="","",IF(AND(P76&lt;&gt;"Closed",Q76&lt;TODAY()),"YES","NO"))</x:f>
      </x:c>
    </x:row>
    <x:row r="77">
      <x:c r="A77" s="20"/>
      <x:c r="B77" s="20"/>
      <x:c r="C77" s="20"/>
      <x:c r="D77" s="20"/>
      <x:c r="E77" s="20"/>
      <x:c r="F77" s="20"/>
      <x:c r="G77" s="20"/>
      <x:c r="H77" s="20"/>
      <x:c r="I77" s="20"/>
      <x:c r="J77" s="20"/>
      <x:c r="K77" s="20"/>
      <x:c r="L77" s="20"/>
      <x:c r="M77" s="20"/>
      <x:c r="N77" s="20"/>
      <x:c r="O77" s="20"/>
      <x:c r="P77" s="20"/>
      <x:c r="Q77" s="23"/>
      <x:c r="R77" s="20"/>
      <x:c r="S77" s="20"/>
      <x:c r="T77" s="20"/>
      <x:c r="U77" s="23"/>
      <x:c r="V77" s="20" t="str">
        <x:f>IF(A77="","",IF(AND(P77&lt;&gt;"Closed",Q77&lt;TODAY()),"YES","NO"))</x:f>
      </x:c>
    </x:row>
    <x:row r="78">
      <x:c r="A78" s="20"/>
      <x:c r="B78" s="20"/>
      <x:c r="C78" s="20"/>
      <x:c r="D78" s="20"/>
      <x:c r="E78" s="20"/>
      <x:c r="F78" s="20"/>
      <x:c r="G78" s="20"/>
      <x:c r="H78" s="20"/>
      <x:c r="I78" s="20"/>
      <x:c r="J78" s="20"/>
      <x:c r="K78" s="20"/>
      <x:c r="L78" s="20"/>
      <x:c r="M78" s="20"/>
      <x:c r="N78" s="20"/>
      <x:c r="O78" s="20"/>
      <x:c r="P78" s="20"/>
      <x:c r="Q78" s="23"/>
      <x:c r="R78" s="20"/>
      <x:c r="S78" s="20"/>
      <x:c r="T78" s="20"/>
      <x:c r="U78" s="23"/>
      <x:c r="V78" s="20" t="str">
        <x:f>IF(A78="","",IF(AND(P78&lt;&gt;"Closed",Q78&lt;TODAY()),"YES","NO"))</x:f>
      </x:c>
    </x:row>
    <x:row r="79">
      <x:c r="A79" s="20"/>
      <x:c r="B79" s="20"/>
      <x:c r="C79" s="20"/>
      <x:c r="D79" s="20"/>
      <x:c r="E79" s="20"/>
      <x:c r="F79" s="20"/>
      <x:c r="G79" s="20"/>
      <x:c r="H79" s="20"/>
      <x:c r="I79" s="20"/>
      <x:c r="J79" s="20"/>
      <x:c r="K79" s="20"/>
      <x:c r="L79" s="20"/>
      <x:c r="M79" s="20"/>
      <x:c r="N79" s="20"/>
      <x:c r="O79" s="20"/>
      <x:c r="P79" s="20"/>
      <x:c r="Q79" s="23"/>
      <x:c r="R79" s="20"/>
      <x:c r="S79" s="20"/>
      <x:c r="T79" s="20"/>
      <x:c r="U79" s="23"/>
      <x:c r="V79" s="20" t="str">
        <x:f>IF(A79="","",IF(AND(P79&lt;&gt;"Closed",Q79&lt;TODAY()),"YES","NO"))</x:f>
      </x:c>
    </x:row>
    <x:row r="80">
      <x:c r="A80" s="20"/>
      <x:c r="B80" s="20"/>
      <x:c r="C80" s="20"/>
      <x:c r="D80" s="20"/>
      <x:c r="E80" s="20"/>
      <x:c r="F80" s="20"/>
      <x:c r="G80" s="20"/>
      <x:c r="H80" s="20"/>
      <x:c r="I80" s="20"/>
      <x:c r="J80" s="20"/>
      <x:c r="K80" s="20"/>
      <x:c r="L80" s="20"/>
      <x:c r="M80" s="20"/>
      <x:c r="N80" s="20"/>
      <x:c r="O80" s="20"/>
      <x:c r="P80" s="20"/>
      <x:c r="Q80" s="23"/>
      <x:c r="R80" s="20"/>
      <x:c r="S80" s="20"/>
      <x:c r="T80" s="20"/>
      <x:c r="U80" s="23"/>
      <x:c r="V80" s="20" t="str">
        <x:f>IF(A80="","",IF(AND(P80&lt;&gt;"Closed",Q80&lt;TODAY()),"YES","NO"))</x:f>
      </x:c>
    </x:row>
    <x:row r="81">
      <x:c r="A81" s="20"/>
      <x:c r="B81" s="20"/>
      <x:c r="C81" s="20"/>
      <x:c r="D81" s="20"/>
      <x:c r="E81" s="20"/>
      <x:c r="F81" s="20"/>
      <x:c r="G81" s="20"/>
      <x:c r="H81" s="20"/>
      <x:c r="I81" s="20"/>
      <x:c r="J81" s="20"/>
      <x:c r="K81" s="20"/>
      <x:c r="L81" s="20"/>
      <x:c r="M81" s="20"/>
      <x:c r="N81" s="20"/>
      <x:c r="O81" s="20"/>
      <x:c r="P81" s="20"/>
      <x:c r="Q81" s="23"/>
      <x:c r="R81" s="20"/>
      <x:c r="S81" s="20"/>
      <x:c r="T81" s="20"/>
      <x:c r="U81" s="23"/>
      <x:c r="V81" s="20" t="str">
        <x:f>IF(A81="","",IF(AND(P81&lt;&gt;"Closed",Q81&lt;TODAY()),"YES","NO"))</x:f>
      </x:c>
    </x:row>
    <x:row r="82">
      <x:c r="A82" s="20"/>
      <x:c r="B82" s="20"/>
      <x:c r="C82" s="20"/>
      <x:c r="D82" s="20"/>
      <x:c r="E82" s="20"/>
      <x:c r="F82" s="20"/>
      <x:c r="G82" s="20"/>
      <x:c r="H82" s="20"/>
      <x:c r="I82" s="20"/>
      <x:c r="J82" s="20"/>
      <x:c r="K82" s="20"/>
      <x:c r="L82" s="20"/>
      <x:c r="M82" s="20"/>
      <x:c r="N82" s="20"/>
      <x:c r="O82" s="20"/>
      <x:c r="P82" s="20"/>
      <x:c r="Q82" s="23"/>
      <x:c r="R82" s="20"/>
      <x:c r="S82" s="20"/>
      <x:c r="T82" s="20"/>
      <x:c r="U82" s="23"/>
      <x:c r="V82" s="20" t="str">
        <x:f>IF(A82="","",IF(AND(P82&lt;&gt;"Closed",Q82&lt;TODAY()),"YES","NO"))</x:f>
      </x:c>
    </x:row>
    <x:row r="83">
      <x:c r="A83" s="20"/>
      <x:c r="B83" s="20"/>
      <x:c r="C83" s="20"/>
      <x:c r="D83" s="20"/>
      <x:c r="E83" s="20"/>
      <x:c r="F83" s="20"/>
      <x:c r="G83" s="20"/>
      <x:c r="H83" s="20"/>
      <x:c r="I83" s="20"/>
      <x:c r="J83" s="20"/>
      <x:c r="K83" s="20"/>
      <x:c r="L83" s="20"/>
      <x:c r="M83" s="20"/>
      <x:c r="N83" s="20"/>
      <x:c r="O83" s="20"/>
      <x:c r="P83" s="20"/>
      <x:c r="Q83" s="23"/>
      <x:c r="R83" s="20"/>
      <x:c r="S83" s="20"/>
      <x:c r="T83" s="20"/>
      <x:c r="U83" s="23"/>
      <x:c r="V83" s="20" t="str">
        <x:f>IF(A83="","",IF(AND(P83&lt;&gt;"Closed",Q83&lt;TODAY()),"YES","NO"))</x:f>
      </x:c>
    </x:row>
    <x:row r="84">
      <x:c r="A84" s="20"/>
      <x:c r="B84" s="20"/>
      <x:c r="C84" s="20"/>
      <x:c r="D84" s="20"/>
      <x:c r="E84" s="20"/>
      <x:c r="F84" s="20"/>
      <x:c r="G84" s="20"/>
      <x:c r="H84" s="20"/>
      <x:c r="I84" s="20"/>
      <x:c r="J84" s="20"/>
      <x:c r="K84" s="20"/>
      <x:c r="L84" s="20"/>
      <x:c r="M84" s="20"/>
      <x:c r="N84" s="20"/>
      <x:c r="O84" s="20"/>
      <x:c r="P84" s="20"/>
      <x:c r="Q84" s="23"/>
      <x:c r="R84" s="20"/>
      <x:c r="S84" s="20"/>
      <x:c r="T84" s="20"/>
      <x:c r="U84" s="23"/>
      <x:c r="V84" s="20" t="str">
        <x:f>IF(A84="","",IF(AND(P84&lt;&gt;"Closed",Q84&lt;TODAY()),"YES","NO"))</x:f>
      </x:c>
    </x:row>
    <x:row r="85">
      <x:c r="A85" s="20"/>
      <x:c r="B85" s="20"/>
      <x:c r="C85" s="20"/>
      <x:c r="D85" s="20"/>
      <x:c r="E85" s="20"/>
      <x:c r="F85" s="20"/>
      <x:c r="G85" s="20"/>
      <x:c r="H85" s="20"/>
      <x:c r="I85" s="20"/>
      <x:c r="J85" s="20"/>
      <x:c r="K85" s="20"/>
      <x:c r="L85" s="20"/>
      <x:c r="M85" s="20"/>
      <x:c r="N85" s="20"/>
      <x:c r="O85" s="20"/>
      <x:c r="P85" s="20"/>
      <x:c r="Q85" s="23"/>
      <x:c r="R85" s="20"/>
      <x:c r="S85" s="20"/>
      <x:c r="T85" s="20"/>
      <x:c r="U85" s="23"/>
      <x:c r="V85" s="20" t="str">
        <x:f>IF(A85="","",IF(AND(P85&lt;&gt;"Closed",Q85&lt;TODAY()),"YES","NO"))</x:f>
      </x:c>
    </x:row>
    <x:row r="86">
      <x:c r="A86" s="20"/>
      <x:c r="B86" s="20"/>
      <x:c r="C86" s="20"/>
      <x:c r="D86" s="20"/>
      <x:c r="E86" s="20"/>
      <x:c r="F86" s="20"/>
      <x:c r="G86" s="20"/>
      <x:c r="H86" s="20"/>
      <x:c r="I86" s="20"/>
      <x:c r="J86" s="20"/>
      <x:c r="K86" s="20"/>
      <x:c r="L86" s="20"/>
      <x:c r="M86" s="20"/>
      <x:c r="N86" s="20"/>
      <x:c r="O86" s="20"/>
      <x:c r="P86" s="20"/>
      <x:c r="Q86" s="23"/>
      <x:c r="R86" s="20"/>
      <x:c r="S86" s="20"/>
      <x:c r="T86" s="20"/>
      <x:c r="U86" s="23"/>
      <x:c r="V86" s="20" t="str">
        <x:f>IF(A86="","",IF(AND(P86&lt;&gt;"Closed",Q86&lt;TODAY()),"YES","NO"))</x:f>
      </x:c>
    </x:row>
    <x:row r="87">
      <x:c r="A87" s="20"/>
      <x:c r="B87" s="20"/>
      <x:c r="C87" s="20"/>
      <x:c r="D87" s="20"/>
      <x:c r="E87" s="20"/>
      <x:c r="F87" s="20"/>
      <x:c r="G87" s="20"/>
      <x:c r="H87" s="20"/>
      <x:c r="I87" s="20"/>
      <x:c r="J87" s="20"/>
      <x:c r="K87" s="20"/>
      <x:c r="L87" s="20"/>
      <x:c r="M87" s="20"/>
      <x:c r="N87" s="20"/>
      <x:c r="O87" s="20"/>
      <x:c r="P87" s="20"/>
      <x:c r="Q87" s="23"/>
      <x:c r="R87" s="20"/>
      <x:c r="S87" s="20"/>
      <x:c r="T87" s="20"/>
      <x:c r="U87" s="23"/>
      <x:c r="V87" s="20" t="str">
        <x:f>IF(A87="","",IF(AND(P87&lt;&gt;"Closed",Q87&lt;TODAY()),"YES","NO"))</x:f>
      </x:c>
    </x:row>
    <x:row r="88">
      <x:c r="A88" s="20"/>
      <x:c r="B88" s="20"/>
      <x:c r="C88" s="20"/>
      <x:c r="D88" s="20"/>
      <x:c r="E88" s="20"/>
      <x:c r="F88" s="20"/>
      <x:c r="G88" s="20"/>
      <x:c r="H88" s="20"/>
      <x:c r="I88" s="20"/>
      <x:c r="J88" s="20"/>
      <x:c r="K88" s="20"/>
      <x:c r="L88" s="20"/>
      <x:c r="M88" s="20"/>
      <x:c r="N88" s="20"/>
      <x:c r="O88" s="20"/>
      <x:c r="P88" s="20"/>
      <x:c r="Q88" s="23"/>
      <x:c r="R88" s="20"/>
      <x:c r="S88" s="20"/>
      <x:c r="T88" s="20"/>
      <x:c r="U88" s="23"/>
      <x:c r="V88" s="20" t="str">
        <x:f>IF(A88="","",IF(AND(P88&lt;&gt;"Closed",Q88&lt;TODAY()),"YES","NO"))</x:f>
      </x:c>
    </x:row>
    <x:row r="89">
      <x:c r="A89" s="20"/>
      <x:c r="B89" s="20"/>
      <x:c r="C89" s="20"/>
      <x:c r="D89" s="20"/>
      <x:c r="E89" s="20"/>
      <x:c r="F89" s="20"/>
      <x:c r="G89" s="20"/>
      <x:c r="H89" s="20"/>
      <x:c r="I89" s="20"/>
      <x:c r="J89" s="20"/>
      <x:c r="K89" s="20"/>
      <x:c r="L89" s="20"/>
      <x:c r="M89" s="20"/>
      <x:c r="N89" s="20"/>
      <x:c r="O89" s="20"/>
      <x:c r="P89" s="20"/>
      <x:c r="Q89" s="23"/>
      <x:c r="R89" s="20"/>
      <x:c r="S89" s="20"/>
      <x:c r="T89" s="20"/>
      <x:c r="U89" s="23"/>
      <x:c r="V89" s="20" t="str">
        <x:f>IF(A89="","",IF(AND(P89&lt;&gt;"Closed",Q89&lt;TODAY()),"YES","NO"))</x:f>
      </x:c>
    </x:row>
    <x:row r="90">
      <x:c r="A90" s="20"/>
      <x:c r="B90" s="20"/>
      <x:c r="C90" s="20"/>
      <x:c r="D90" s="20"/>
      <x:c r="E90" s="20"/>
      <x:c r="F90" s="20"/>
      <x:c r="G90" s="20"/>
      <x:c r="H90" s="20"/>
      <x:c r="I90" s="20"/>
      <x:c r="J90" s="20"/>
      <x:c r="K90" s="20"/>
      <x:c r="L90" s="20"/>
      <x:c r="M90" s="20"/>
      <x:c r="N90" s="20"/>
      <x:c r="O90" s="20"/>
      <x:c r="P90" s="20"/>
      <x:c r="Q90" s="23"/>
      <x:c r="R90" s="20"/>
      <x:c r="S90" s="20"/>
      <x:c r="T90" s="20"/>
      <x:c r="U90" s="23"/>
      <x:c r="V90" s="20" t="str">
        <x:f>IF(A90="","",IF(AND(P90&lt;&gt;"Closed",Q90&lt;TODAY()),"YES","NO"))</x:f>
      </x:c>
    </x:row>
    <x:row r="91">
      <x:c r="A91" s="20"/>
      <x:c r="B91" s="20"/>
      <x:c r="C91" s="20"/>
      <x:c r="D91" s="20"/>
      <x:c r="E91" s="20"/>
      <x:c r="F91" s="20"/>
      <x:c r="G91" s="20"/>
      <x:c r="H91" s="20"/>
      <x:c r="I91" s="20"/>
      <x:c r="J91" s="20"/>
      <x:c r="K91" s="20"/>
      <x:c r="L91" s="20"/>
      <x:c r="M91" s="20"/>
      <x:c r="N91" s="20"/>
      <x:c r="O91" s="20"/>
      <x:c r="P91" s="20"/>
      <x:c r="Q91" s="23"/>
      <x:c r="R91" s="20"/>
      <x:c r="S91" s="20"/>
      <x:c r="T91" s="20"/>
      <x:c r="U91" s="23"/>
      <x:c r="V91" s="20" t="str">
        <x:f>IF(A91="","",IF(AND(P91&lt;&gt;"Closed",Q91&lt;TODAY()),"YES","NO"))</x:f>
      </x:c>
    </x:row>
    <x:row r="92">
      <x:c r="A92" s="20"/>
      <x:c r="B92" s="20"/>
      <x:c r="C92" s="20"/>
      <x:c r="D92" s="20"/>
      <x:c r="E92" s="20"/>
      <x:c r="F92" s="20"/>
      <x:c r="G92" s="20"/>
      <x:c r="H92" s="20"/>
      <x:c r="I92" s="20"/>
      <x:c r="J92" s="20"/>
      <x:c r="K92" s="20"/>
      <x:c r="L92" s="20"/>
      <x:c r="M92" s="20"/>
      <x:c r="N92" s="20"/>
      <x:c r="O92" s="20"/>
      <x:c r="P92" s="20"/>
      <x:c r="Q92" s="23"/>
      <x:c r="R92" s="20"/>
      <x:c r="S92" s="20"/>
      <x:c r="T92" s="20"/>
      <x:c r="U92" s="23"/>
      <x:c r="V92" s="20" t="str">
        <x:f>IF(A92="","",IF(AND(P92&lt;&gt;"Closed",Q92&lt;TODAY()),"YES","NO"))</x:f>
      </x:c>
    </x:row>
    <x:row r="93">
      <x:c r="A93" s="20"/>
      <x:c r="B93" s="20"/>
      <x:c r="C93" s="20"/>
      <x:c r="D93" s="20"/>
      <x:c r="E93" s="20"/>
      <x:c r="F93" s="20"/>
      <x:c r="G93" s="20"/>
      <x:c r="H93" s="20"/>
      <x:c r="I93" s="20"/>
      <x:c r="J93" s="20"/>
      <x:c r="K93" s="20"/>
      <x:c r="L93" s="20"/>
      <x:c r="M93" s="20"/>
      <x:c r="N93" s="20"/>
      <x:c r="O93" s="20"/>
      <x:c r="P93" s="20"/>
      <x:c r="Q93" s="23"/>
      <x:c r="R93" s="20"/>
      <x:c r="S93" s="20"/>
      <x:c r="T93" s="20"/>
      <x:c r="U93" s="23"/>
      <x:c r="V93" s="20" t="str">
        <x:f>IF(A93="","",IF(AND(P93&lt;&gt;"Closed",Q93&lt;TODAY()),"YES","NO"))</x:f>
      </x:c>
    </x:row>
    <x:row r="94">
      <x:c r="A94" s="20"/>
      <x:c r="B94" s="20"/>
      <x:c r="C94" s="20"/>
      <x:c r="D94" s="20"/>
      <x:c r="E94" s="20"/>
      <x:c r="F94" s="20"/>
      <x:c r="G94" s="20"/>
      <x:c r="H94" s="20"/>
      <x:c r="I94" s="20"/>
      <x:c r="J94" s="20"/>
      <x:c r="K94" s="20"/>
      <x:c r="L94" s="20"/>
      <x:c r="M94" s="20"/>
      <x:c r="N94" s="20"/>
      <x:c r="O94" s="20"/>
      <x:c r="P94" s="20"/>
      <x:c r="Q94" s="23"/>
      <x:c r="R94" s="20"/>
      <x:c r="S94" s="20"/>
      <x:c r="T94" s="20"/>
      <x:c r="U94" s="23"/>
      <x:c r="V94" s="20" t="str">
        <x:f>IF(A94="","",IF(AND(P94&lt;&gt;"Closed",Q94&lt;TODAY()),"YES","NO"))</x:f>
      </x:c>
    </x:row>
    <x:row r="95">
      <x:c r="A95" s="20"/>
      <x:c r="B95" s="20"/>
      <x:c r="C95" s="20"/>
      <x:c r="D95" s="20"/>
      <x:c r="E95" s="20"/>
      <x:c r="F95" s="20"/>
      <x:c r="G95" s="20"/>
      <x:c r="H95" s="20"/>
      <x:c r="I95" s="20"/>
      <x:c r="J95" s="20"/>
      <x:c r="K95" s="20"/>
      <x:c r="L95" s="20"/>
      <x:c r="M95" s="20"/>
      <x:c r="N95" s="20"/>
      <x:c r="O95" s="20"/>
      <x:c r="P95" s="20"/>
      <x:c r="Q95" s="23"/>
      <x:c r="R95" s="20"/>
      <x:c r="S95" s="20"/>
      <x:c r="T95" s="20"/>
      <x:c r="U95" s="23"/>
      <x:c r="V95" s="20" t="str">
        <x:f>IF(A95="","",IF(AND(P95&lt;&gt;"Closed",Q95&lt;TODAY()),"YES","NO"))</x:f>
      </x:c>
    </x:row>
    <x:row r="96">
      <x:c r="A96" s="20"/>
      <x:c r="B96" s="20"/>
      <x:c r="C96" s="20"/>
      <x:c r="D96" s="20"/>
      <x:c r="E96" s="20"/>
      <x:c r="F96" s="20"/>
      <x:c r="G96" s="20"/>
      <x:c r="H96" s="20"/>
      <x:c r="I96" s="20"/>
      <x:c r="J96" s="20"/>
      <x:c r="K96" s="20"/>
      <x:c r="L96" s="20"/>
      <x:c r="M96" s="20"/>
      <x:c r="N96" s="20"/>
      <x:c r="O96" s="20"/>
      <x:c r="P96" s="20"/>
      <x:c r="Q96" s="23"/>
      <x:c r="R96" s="20"/>
      <x:c r="S96" s="20"/>
      <x:c r="T96" s="20"/>
      <x:c r="U96" s="23"/>
      <x:c r="V96" s="20" t="str">
        <x:f>IF(A96="","",IF(AND(P96&lt;&gt;"Closed",Q96&lt;TODAY()),"YES","NO"))</x:f>
      </x:c>
    </x:row>
    <x:row r="97">
      <x:c r="A97" s="20"/>
      <x:c r="B97" s="20"/>
      <x:c r="C97" s="20"/>
      <x:c r="D97" s="20"/>
      <x:c r="E97" s="20"/>
      <x:c r="F97" s="20"/>
      <x:c r="G97" s="20"/>
      <x:c r="H97" s="20"/>
      <x:c r="I97" s="20"/>
      <x:c r="J97" s="20"/>
      <x:c r="K97" s="20"/>
      <x:c r="L97" s="20"/>
      <x:c r="M97" s="20"/>
      <x:c r="N97" s="20"/>
      <x:c r="O97" s="20"/>
      <x:c r="P97" s="20"/>
      <x:c r="Q97" s="23"/>
      <x:c r="R97" s="20"/>
      <x:c r="S97" s="20"/>
      <x:c r="T97" s="20"/>
      <x:c r="U97" s="23"/>
      <x:c r="V97" s="20" t="str">
        <x:f>IF(A97="","",IF(AND(P97&lt;&gt;"Closed",Q97&lt;TODAY()),"YES","NO"))</x:f>
      </x:c>
    </x:row>
    <x:row r="98">
      <x:c r="A98" s="20"/>
      <x:c r="B98" s="20"/>
      <x:c r="C98" s="20"/>
      <x:c r="D98" s="20"/>
      <x:c r="E98" s="20"/>
      <x:c r="F98" s="20"/>
      <x:c r="G98" s="20"/>
      <x:c r="H98" s="20"/>
      <x:c r="I98" s="20"/>
      <x:c r="J98" s="20"/>
      <x:c r="K98" s="20"/>
      <x:c r="L98" s="20"/>
      <x:c r="M98" s="20"/>
      <x:c r="N98" s="20"/>
      <x:c r="O98" s="20"/>
      <x:c r="P98" s="20"/>
      <x:c r="Q98" s="23"/>
      <x:c r="R98" s="20"/>
      <x:c r="S98" s="20"/>
      <x:c r="T98" s="20"/>
      <x:c r="U98" s="23"/>
      <x:c r="V98" s="20" t="str">
        <x:f>IF(A98="","",IF(AND(P98&lt;&gt;"Closed",Q98&lt;TODAY()),"YES","NO"))</x:f>
      </x:c>
    </x:row>
    <x:row r="99">
      <x:c r="A99" s="20"/>
      <x:c r="B99" s="20"/>
      <x:c r="C99" s="20"/>
      <x:c r="D99" s="20"/>
      <x:c r="E99" s="20"/>
      <x:c r="F99" s="20"/>
      <x:c r="G99" s="20"/>
      <x:c r="H99" s="20"/>
      <x:c r="I99" s="20"/>
      <x:c r="J99" s="20"/>
      <x:c r="K99" s="20"/>
      <x:c r="L99" s="20"/>
      <x:c r="M99" s="20"/>
      <x:c r="N99" s="20"/>
      <x:c r="O99" s="20"/>
      <x:c r="P99" s="20"/>
      <x:c r="Q99" s="23"/>
      <x:c r="R99" s="20"/>
      <x:c r="S99" s="20"/>
      <x:c r="T99" s="20"/>
      <x:c r="U99" s="23"/>
      <x:c r="V99" s="20" t="str">
        <x:f>IF(A99="","",IF(AND(P99&lt;&gt;"Closed",Q99&lt;TODAY()),"YES","NO"))</x:f>
      </x:c>
    </x:row>
    <x:row r="100">
      <x:c r="A100" s="20"/>
      <x:c r="B100" s="20"/>
      <x:c r="C100" s="20"/>
      <x:c r="D100" s="20"/>
      <x:c r="E100" s="20"/>
      <x:c r="F100" s="20"/>
      <x:c r="G100" s="20"/>
      <x:c r="H100" s="20"/>
      <x:c r="I100" s="20"/>
      <x:c r="J100" s="20"/>
      <x:c r="K100" s="20"/>
      <x:c r="L100" s="20"/>
      <x:c r="M100" s="20"/>
      <x:c r="N100" s="20"/>
      <x:c r="O100" s="20"/>
      <x:c r="P100" s="20"/>
      <x:c r="Q100" s="23"/>
      <x:c r="R100" s="20"/>
      <x:c r="S100" s="20"/>
      <x:c r="T100" s="20"/>
      <x:c r="U100" s="23"/>
      <x:c r="V100" s="20" t="str">
        <x:f>IF(A100="","",IF(AND(P100&lt;&gt;"Closed",Q100&lt;TODAY()),"YES","NO"))</x:f>
      </x:c>
    </x:row>
    <x:row r="101">
      <x:c r="A101" s="20"/>
      <x:c r="B101" s="20"/>
      <x:c r="C101" s="20"/>
      <x:c r="D101" s="20"/>
      <x:c r="E101" s="20"/>
      <x:c r="F101" s="20"/>
      <x:c r="G101" s="20"/>
      <x:c r="H101" s="20"/>
      <x:c r="I101" s="20"/>
      <x:c r="J101" s="20"/>
      <x:c r="K101" s="20"/>
      <x:c r="L101" s="20"/>
      <x:c r="M101" s="20"/>
      <x:c r="N101" s="20"/>
      <x:c r="O101" s="20"/>
      <x:c r="P101" s="20"/>
      <x:c r="Q101" s="23"/>
      <x:c r="R101" s="20"/>
      <x:c r="S101" s="20"/>
      <x:c r="T101" s="20"/>
      <x:c r="U101" s="23"/>
      <x:c r="V101" s="20" t="str">
        <x:f>IF(A101="","",IF(AND(P101&lt;&gt;"Closed",Q101&lt;TODAY()),"YES","NO"))</x:f>
      </x:c>
    </x:row>
    <x:row r="102">
      <x:c r="A102" s="20"/>
      <x:c r="B102" s="20"/>
      <x:c r="C102" s="20"/>
      <x:c r="D102" s="20"/>
      <x:c r="E102" s="20"/>
      <x:c r="F102" s="20"/>
      <x:c r="G102" s="20"/>
      <x:c r="H102" s="20"/>
      <x:c r="I102" s="20"/>
      <x:c r="J102" s="20"/>
      <x:c r="K102" s="20"/>
      <x:c r="L102" s="20"/>
      <x:c r="M102" s="20"/>
      <x:c r="N102" s="20"/>
      <x:c r="O102" s="20"/>
      <x:c r="P102" s="20"/>
      <x:c r="Q102" s="23"/>
      <x:c r="R102" s="20"/>
      <x:c r="S102" s="20"/>
      <x:c r="T102" s="20"/>
      <x:c r="U102" s="23"/>
      <x:c r="V102" s="20" t="str">
        <x:f>IF(A102="","",IF(AND(P102&lt;&gt;"Closed",Q102&lt;TODAY()),"YES","NO"))</x:f>
      </x:c>
    </x:row>
    <x:row r="103">
      <x:c r="A103" s="20"/>
      <x:c r="B103" s="20"/>
      <x:c r="C103" s="20"/>
      <x:c r="D103" s="20"/>
      <x:c r="E103" s="20"/>
      <x:c r="F103" s="20"/>
      <x:c r="G103" s="20"/>
      <x:c r="H103" s="20"/>
      <x:c r="I103" s="20"/>
      <x:c r="J103" s="20"/>
      <x:c r="K103" s="20"/>
      <x:c r="L103" s="20"/>
      <x:c r="M103" s="20"/>
      <x:c r="N103" s="20"/>
      <x:c r="O103" s="20"/>
      <x:c r="P103" s="20"/>
      <x:c r="Q103" s="23"/>
      <x:c r="R103" s="20"/>
      <x:c r="S103" s="20"/>
      <x:c r="T103" s="20"/>
      <x:c r="U103" s="23"/>
      <x:c r="V103" s="20" t="str">
        <x:f>IF(A103="","",IF(AND(P103&lt;&gt;"Closed",Q103&lt;TODAY()),"YES","NO"))</x:f>
      </x:c>
    </x:row>
    <x:row r="104">
      <x:c r="A104" s="20"/>
      <x:c r="B104" s="20"/>
      <x:c r="C104" s="20"/>
      <x:c r="D104" s="20"/>
      <x:c r="E104" s="20"/>
      <x:c r="F104" s="20"/>
      <x:c r="G104" s="20"/>
      <x:c r="H104" s="20"/>
      <x:c r="I104" s="20"/>
      <x:c r="J104" s="20"/>
      <x:c r="K104" s="20"/>
      <x:c r="L104" s="20"/>
      <x:c r="M104" s="20"/>
      <x:c r="N104" s="20"/>
      <x:c r="O104" s="20"/>
      <x:c r="P104" s="20"/>
      <x:c r="Q104" s="23"/>
      <x:c r="R104" s="20"/>
      <x:c r="S104" s="20"/>
      <x:c r="T104" s="20"/>
      <x:c r="U104" s="23"/>
      <x:c r="V104" s="20" t="str">
        <x:f>IF(A104="","",IF(AND(P104&lt;&gt;"Closed",Q104&lt;TODAY()),"YES","NO"))</x:f>
      </x:c>
    </x:row>
    <x:row r="105">
      <x:c r="A105" s="20"/>
      <x:c r="B105" s="20"/>
      <x:c r="C105" s="20"/>
      <x:c r="D105" s="20"/>
      <x:c r="E105" s="20"/>
      <x:c r="F105" s="20"/>
      <x:c r="G105" s="20"/>
      <x:c r="H105" s="20"/>
      <x:c r="I105" s="20"/>
      <x:c r="J105" s="20"/>
      <x:c r="K105" s="20"/>
      <x:c r="L105" s="20"/>
      <x:c r="M105" s="20"/>
      <x:c r="N105" s="20"/>
      <x:c r="O105" s="20"/>
      <x:c r="P105" s="20"/>
      <x:c r="Q105" s="23"/>
      <x:c r="R105" s="20"/>
      <x:c r="S105" s="20"/>
      <x:c r="T105" s="20"/>
      <x:c r="U105" s="23"/>
      <x:c r="V105" s="20" t="str">
        <x:f>IF(A105="","",IF(AND(P105&lt;&gt;"Closed",Q105&lt;TODAY()),"YES","NO"))</x:f>
      </x:c>
    </x:row>
    <x:row r="106">
      <x:c r="A106" s="20"/>
      <x:c r="B106" s="20"/>
      <x:c r="C106" s="20"/>
      <x:c r="D106" s="20"/>
      <x:c r="E106" s="20"/>
      <x:c r="F106" s="20"/>
      <x:c r="G106" s="20"/>
      <x:c r="H106" s="20"/>
      <x:c r="I106" s="20"/>
      <x:c r="J106" s="20"/>
      <x:c r="K106" s="20"/>
      <x:c r="L106" s="20"/>
      <x:c r="M106" s="20"/>
      <x:c r="N106" s="20"/>
      <x:c r="O106" s="20"/>
      <x:c r="P106" s="20"/>
      <x:c r="Q106" s="23"/>
      <x:c r="R106" s="20"/>
      <x:c r="S106" s="20"/>
      <x:c r="T106" s="20"/>
      <x:c r="U106" s="23"/>
      <x:c r="V106" s="20" t="str">
        <x:f>IF(A106="","",IF(AND(P106&lt;&gt;"Closed",Q106&lt;TODAY()),"YES","NO"))</x:f>
      </x:c>
    </x:row>
    <x:row r="107">
      <x:c r="A107" s="20"/>
      <x:c r="B107" s="20"/>
      <x:c r="C107" s="20"/>
      <x:c r="D107" s="20"/>
      <x:c r="E107" s="20"/>
      <x:c r="F107" s="20"/>
      <x:c r="G107" s="20"/>
      <x:c r="H107" s="20"/>
      <x:c r="I107" s="20"/>
      <x:c r="J107" s="20"/>
      <x:c r="K107" s="20"/>
      <x:c r="L107" s="20"/>
      <x:c r="M107" s="20"/>
      <x:c r="N107" s="20"/>
      <x:c r="O107" s="20"/>
      <x:c r="P107" s="20"/>
      <x:c r="Q107" s="23"/>
      <x:c r="R107" s="20"/>
      <x:c r="S107" s="20"/>
      <x:c r="T107" s="20"/>
      <x:c r="U107" s="23"/>
      <x:c r="V107" s="20" t="str">
        <x:f>IF(A107="","",IF(AND(P107&lt;&gt;"Closed",Q107&lt;TODAY()),"YES","NO"))</x:f>
      </x:c>
    </x:row>
    <x:row r="108">
      <x:c r="A108" s="20"/>
      <x:c r="B108" s="20"/>
      <x:c r="C108" s="20"/>
      <x:c r="D108" s="20"/>
      <x:c r="E108" s="20"/>
      <x:c r="F108" s="20"/>
      <x:c r="G108" s="20"/>
      <x:c r="H108" s="20"/>
      <x:c r="I108" s="20"/>
      <x:c r="J108" s="20"/>
      <x:c r="K108" s="20"/>
      <x:c r="L108" s="20"/>
      <x:c r="M108" s="20"/>
      <x:c r="N108" s="20"/>
      <x:c r="O108" s="20"/>
      <x:c r="P108" s="20"/>
      <x:c r="Q108" s="23"/>
      <x:c r="R108" s="20"/>
      <x:c r="S108" s="20"/>
      <x:c r="T108" s="20"/>
      <x:c r="U108" s="23"/>
      <x:c r="V108" s="20" t="str">
        <x:f>IF(A108="","",IF(AND(P108&lt;&gt;"Closed",Q108&lt;TODAY()),"YES","NO"))</x:f>
      </x:c>
    </x:row>
    <x:row r="109">
      <x:c r="A109" s="20"/>
      <x:c r="B109" s="20"/>
      <x:c r="C109" s="20"/>
      <x:c r="D109" s="20"/>
      <x:c r="E109" s="20"/>
      <x:c r="F109" s="20"/>
      <x:c r="G109" s="20"/>
      <x:c r="H109" s="20"/>
      <x:c r="I109" s="20"/>
      <x:c r="J109" s="20"/>
      <x:c r="K109" s="20"/>
      <x:c r="L109" s="20"/>
      <x:c r="M109" s="20"/>
      <x:c r="N109" s="20"/>
      <x:c r="O109" s="20"/>
      <x:c r="P109" s="20"/>
      <x:c r="Q109" s="23"/>
      <x:c r="R109" s="20"/>
      <x:c r="S109" s="20"/>
      <x:c r="T109" s="20"/>
      <x:c r="U109" s="23"/>
      <x:c r="V109" s="20" t="str">
        <x:f>IF(A109="","",IF(AND(P109&lt;&gt;"Closed",Q109&lt;TODAY()),"YES","NO"))</x:f>
      </x:c>
    </x:row>
    <x:row r="110">
      <x:c r="A110" s="20"/>
      <x:c r="B110" s="20"/>
      <x:c r="C110" s="20"/>
      <x:c r="D110" s="20"/>
      <x:c r="E110" s="20"/>
      <x:c r="F110" s="20"/>
      <x:c r="G110" s="20"/>
      <x:c r="H110" s="20"/>
      <x:c r="I110" s="20"/>
      <x:c r="J110" s="20"/>
      <x:c r="K110" s="20"/>
      <x:c r="L110" s="20"/>
      <x:c r="M110" s="20"/>
      <x:c r="N110" s="20"/>
      <x:c r="O110" s="20"/>
      <x:c r="P110" s="20"/>
      <x:c r="Q110" s="23"/>
      <x:c r="R110" s="20"/>
      <x:c r="S110" s="20"/>
      <x:c r="T110" s="20"/>
      <x:c r="U110" s="23"/>
      <x:c r="V110" s="20" t="str">
        <x:f>IF(A110="","",IF(AND(P110&lt;&gt;"Closed",Q110&lt;TODAY()),"YES","NO"))</x:f>
      </x:c>
    </x:row>
    <x:row r="111">
      <x:c r="A111" s="20"/>
      <x:c r="B111" s="20"/>
      <x:c r="C111" s="20"/>
      <x:c r="D111" s="20"/>
      <x:c r="E111" s="20"/>
      <x:c r="F111" s="20"/>
      <x:c r="G111" s="20"/>
      <x:c r="H111" s="20"/>
      <x:c r="I111" s="20"/>
      <x:c r="J111" s="20"/>
      <x:c r="K111" s="20"/>
      <x:c r="L111" s="20"/>
      <x:c r="M111" s="20"/>
      <x:c r="N111" s="20"/>
      <x:c r="O111" s="20"/>
      <x:c r="P111" s="20"/>
      <x:c r="Q111" s="23"/>
      <x:c r="R111" s="20"/>
      <x:c r="S111" s="20"/>
      <x:c r="T111" s="20"/>
      <x:c r="U111" s="23"/>
      <x:c r="V111" s="20" t="str">
        <x:f>IF(A111="","",IF(AND(P111&lt;&gt;"Closed",Q111&lt;TODAY()),"YES","NO"))</x:f>
      </x:c>
    </x:row>
    <x:row r="112">
      <x:c r="A112" s="20"/>
      <x:c r="B112" s="20"/>
      <x:c r="C112" s="20"/>
      <x:c r="D112" s="20"/>
      <x:c r="E112" s="20"/>
      <x:c r="F112" s="20"/>
      <x:c r="G112" s="20"/>
      <x:c r="H112" s="20"/>
      <x:c r="I112" s="20"/>
      <x:c r="J112" s="20"/>
      <x:c r="K112" s="20"/>
      <x:c r="L112" s="20"/>
      <x:c r="M112" s="20"/>
      <x:c r="N112" s="20"/>
      <x:c r="O112" s="20"/>
      <x:c r="P112" s="20"/>
      <x:c r="Q112" s="23"/>
      <x:c r="R112" s="20"/>
      <x:c r="S112" s="20"/>
      <x:c r="T112" s="20"/>
      <x:c r="U112" s="23"/>
      <x:c r="V112" s="20" t="str">
        <x:f>IF(A112="","",IF(AND(P112&lt;&gt;"Closed",Q112&lt;TODAY()),"YES","NO"))</x:f>
      </x:c>
    </x:row>
    <x:row r="113">
      <x:c r="A113" s="20"/>
      <x:c r="B113" s="20"/>
      <x:c r="C113" s="20"/>
      <x:c r="D113" s="20"/>
      <x:c r="E113" s="20"/>
      <x:c r="F113" s="20"/>
      <x:c r="G113" s="20"/>
      <x:c r="H113" s="20"/>
      <x:c r="I113" s="20"/>
      <x:c r="J113" s="20"/>
      <x:c r="K113" s="20"/>
      <x:c r="L113" s="20"/>
      <x:c r="M113" s="20"/>
      <x:c r="N113" s="20"/>
      <x:c r="O113" s="20"/>
      <x:c r="P113" s="20"/>
      <x:c r="Q113" s="23"/>
      <x:c r="R113" s="20"/>
      <x:c r="S113" s="20"/>
      <x:c r="T113" s="20"/>
      <x:c r="U113" s="23"/>
      <x:c r="V113" s="20" t="str">
        <x:f>IF(A113="","",IF(AND(P113&lt;&gt;"Closed",Q113&lt;TODAY()),"YES","NO"))</x:f>
      </x:c>
    </x:row>
    <x:row r="114">
      <x:c r="A114" s="20"/>
      <x:c r="B114" s="20"/>
      <x:c r="C114" s="20"/>
      <x:c r="D114" s="20"/>
      <x:c r="E114" s="20"/>
      <x:c r="F114" s="20"/>
      <x:c r="G114" s="20"/>
      <x:c r="H114" s="20"/>
      <x:c r="I114" s="20"/>
      <x:c r="J114" s="20"/>
      <x:c r="K114" s="20"/>
      <x:c r="L114" s="20"/>
      <x:c r="M114" s="20"/>
      <x:c r="N114" s="20"/>
      <x:c r="O114" s="20"/>
      <x:c r="P114" s="20"/>
      <x:c r="Q114" s="23"/>
      <x:c r="R114" s="20"/>
      <x:c r="S114" s="20"/>
      <x:c r="T114" s="20"/>
      <x:c r="U114" s="23"/>
      <x:c r="V114" s="20" t="str">
        <x:f>IF(A114="","",IF(AND(P114&lt;&gt;"Closed",Q114&lt;TODAY()),"YES","NO"))</x:f>
      </x:c>
    </x:row>
    <x:row r="115">
      <x:c r="A115" s="20"/>
      <x:c r="B115" s="20"/>
      <x:c r="C115" s="20"/>
      <x:c r="D115" s="20"/>
      <x:c r="E115" s="20"/>
      <x:c r="F115" s="20"/>
      <x:c r="G115" s="20"/>
      <x:c r="H115" s="20"/>
      <x:c r="I115" s="20"/>
      <x:c r="J115" s="20"/>
      <x:c r="K115" s="20"/>
      <x:c r="L115" s="20"/>
      <x:c r="M115" s="20"/>
      <x:c r="N115" s="20"/>
      <x:c r="O115" s="20"/>
      <x:c r="P115" s="20"/>
      <x:c r="Q115" s="23"/>
      <x:c r="R115" s="20"/>
      <x:c r="S115" s="20"/>
      <x:c r="T115" s="20"/>
      <x:c r="U115" s="23"/>
      <x:c r="V115" s="20" t="str">
        <x:f>IF(A115="","",IF(AND(P115&lt;&gt;"Closed",Q115&lt;TODAY()),"YES","NO"))</x:f>
      </x:c>
    </x:row>
    <x:row r="116">
      <x:c r="A116" s="20"/>
      <x:c r="B116" s="20"/>
      <x:c r="C116" s="20"/>
      <x:c r="D116" s="20"/>
      <x:c r="E116" s="20"/>
      <x:c r="F116" s="20"/>
      <x:c r="G116" s="20"/>
      <x:c r="H116" s="20"/>
      <x:c r="I116" s="20"/>
      <x:c r="J116" s="20"/>
      <x:c r="K116" s="20"/>
      <x:c r="L116" s="20"/>
      <x:c r="M116" s="20"/>
      <x:c r="N116" s="20"/>
      <x:c r="O116" s="20"/>
      <x:c r="P116" s="20"/>
      <x:c r="Q116" s="23"/>
      <x:c r="R116" s="20"/>
      <x:c r="S116" s="20"/>
      <x:c r="T116" s="20"/>
      <x:c r="U116" s="23"/>
      <x:c r="V116" s="20" t="str">
        <x:f>IF(A116="","",IF(AND(P116&lt;&gt;"Closed",Q116&lt;TODAY()),"YES","NO"))</x:f>
      </x:c>
    </x:row>
    <x:row r="117">
      <x:c r="A117" s="20"/>
      <x:c r="B117" s="20"/>
      <x:c r="C117" s="20"/>
      <x:c r="D117" s="20"/>
      <x:c r="E117" s="20"/>
      <x:c r="F117" s="20"/>
      <x:c r="G117" s="20"/>
      <x:c r="H117" s="20"/>
      <x:c r="I117" s="20"/>
      <x:c r="J117" s="20"/>
      <x:c r="K117" s="20"/>
      <x:c r="L117" s="20"/>
      <x:c r="M117" s="20"/>
      <x:c r="N117" s="20"/>
      <x:c r="O117" s="20"/>
      <x:c r="P117" s="20"/>
      <x:c r="Q117" s="23"/>
      <x:c r="R117" s="20"/>
      <x:c r="S117" s="20"/>
      <x:c r="T117" s="20"/>
      <x:c r="U117" s="23"/>
      <x:c r="V117" s="20" t="str">
        <x:f>IF(A117="","",IF(AND(P117&lt;&gt;"Closed",Q117&lt;TODAY()),"YES","NO"))</x:f>
      </x:c>
    </x:row>
    <x:row r="118">
      <x:c r="A118" s="20"/>
      <x:c r="B118" s="20"/>
      <x:c r="C118" s="20"/>
      <x:c r="D118" s="20"/>
      <x:c r="E118" s="20"/>
      <x:c r="F118" s="20"/>
      <x:c r="G118" s="20"/>
      <x:c r="H118" s="20"/>
      <x:c r="I118" s="20"/>
      <x:c r="J118" s="20"/>
      <x:c r="K118" s="20"/>
      <x:c r="L118" s="20"/>
      <x:c r="M118" s="20"/>
      <x:c r="N118" s="20"/>
      <x:c r="O118" s="20"/>
      <x:c r="P118" s="20"/>
      <x:c r="Q118" s="23"/>
      <x:c r="R118" s="20"/>
      <x:c r="S118" s="20"/>
      <x:c r="T118" s="20"/>
      <x:c r="U118" s="23"/>
      <x:c r="V118" s="20" t="str">
        <x:f>IF(A118="","",IF(AND(P118&lt;&gt;"Closed",Q118&lt;TODAY()),"YES","NO"))</x:f>
      </x:c>
    </x:row>
    <x:row r="119">
      <x:c r="A119" s="20"/>
      <x:c r="B119" s="20"/>
      <x:c r="C119" s="20"/>
      <x:c r="D119" s="20"/>
      <x:c r="E119" s="20"/>
      <x:c r="F119" s="20"/>
      <x:c r="G119" s="20"/>
      <x:c r="H119" s="20"/>
      <x:c r="I119" s="20"/>
      <x:c r="J119" s="20"/>
      <x:c r="K119" s="20"/>
      <x:c r="L119" s="20"/>
      <x:c r="M119" s="20"/>
      <x:c r="N119" s="20"/>
      <x:c r="O119" s="20"/>
      <x:c r="P119" s="20"/>
      <x:c r="Q119" s="23"/>
      <x:c r="R119" s="20"/>
      <x:c r="S119" s="20"/>
      <x:c r="T119" s="20"/>
      <x:c r="U119" s="23"/>
      <x:c r="V119" s="20" t="str">
        <x:f>IF(A119="","",IF(AND(P119&lt;&gt;"Closed",Q119&lt;TODAY()),"YES","NO"))</x:f>
      </x:c>
    </x:row>
    <x:row r="120">
      <x:c r="A120" s="20"/>
      <x:c r="B120" s="20"/>
      <x:c r="C120" s="20"/>
      <x:c r="D120" s="20"/>
      <x:c r="E120" s="20"/>
      <x:c r="F120" s="20"/>
      <x:c r="G120" s="20"/>
      <x:c r="H120" s="20"/>
      <x:c r="I120" s="20"/>
      <x:c r="J120" s="20"/>
      <x:c r="K120" s="20"/>
      <x:c r="L120" s="20"/>
      <x:c r="M120" s="20"/>
      <x:c r="N120" s="20"/>
      <x:c r="O120" s="20"/>
      <x:c r="P120" s="20"/>
      <x:c r="Q120" s="23"/>
      <x:c r="R120" s="20"/>
      <x:c r="S120" s="20"/>
      <x:c r="T120" s="20"/>
      <x:c r="U120" s="23"/>
      <x:c r="V120" s="20" t="str">
        <x:f>IF(A120="","",IF(AND(P120&lt;&gt;"Closed",Q120&lt;TODAY()),"YES","NO"))</x:f>
      </x:c>
    </x:row>
    <x:row r="121">
      <x:c r="A121" s="20"/>
      <x:c r="B121" s="20"/>
      <x:c r="C121" s="20"/>
      <x:c r="D121" s="20"/>
      <x:c r="E121" s="20"/>
      <x:c r="F121" s="20"/>
      <x:c r="G121" s="20"/>
      <x:c r="H121" s="20"/>
      <x:c r="I121" s="20"/>
      <x:c r="J121" s="20"/>
      <x:c r="K121" s="20"/>
      <x:c r="L121" s="20"/>
      <x:c r="M121" s="20"/>
      <x:c r="N121" s="20"/>
      <x:c r="O121" s="20"/>
      <x:c r="P121" s="20"/>
      <x:c r="Q121" s="23"/>
      <x:c r="R121" s="20"/>
      <x:c r="S121" s="20"/>
      <x:c r="T121" s="20"/>
      <x:c r="U121" s="23"/>
      <x:c r="V121" s="20" t="str">
        <x:f>IF(A121="","",IF(AND(P121&lt;&gt;"Closed",Q121&lt;TODAY()),"YES","NO"))</x:f>
      </x:c>
    </x:row>
    <x:row r="122">
      <x:c r="A122" s="20"/>
      <x:c r="B122" s="20"/>
      <x:c r="C122" s="20"/>
      <x:c r="D122" s="20"/>
      <x:c r="E122" s="20"/>
      <x:c r="F122" s="20"/>
      <x:c r="G122" s="20"/>
      <x:c r="H122" s="20"/>
      <x:c r="I122" s="20"/>
      <x:c r="J122" s="20"/>
      <x:c r="K122" s="20"/>
      <x:c r="L122" s="20"/>
      <x:c r="M122" s="20"/>
      <x:c r="N122" s="20"/>
      <x:c r="O122" s="20"/>
      <x:c r="P122" s="20"/>
      <x:c r="Q122" s="23"/>
      <x:c r="R122" s="20"/>
      <x:c r="S122" s="20"/>
      <x:c r="T122" s="20"/>
      <x:c r="U122" s="23"/>
      <x:c r="V122" s="20" t="str">
        <x:f>IF(A122="","",IF(AND(P122&lt;&gt;"Closed",Q122&lt;TODAY()),"YES","NO"))</x:f>
      </x:c>
    </x:row>
    <x:row r="123">
      <x:c r="A123" s="20"/>
      <x:c r="B123" s="20"/>
      <x:c r="C123" s="20"/>
      <x:c r="D123" s="20"/>
      <x:c r="E123" s="20"/>
      <x:c r="F123" s="20"/>
      <x:c r="G123" s="20"/>
      <x:c r="H123" s="20"/>
      <x:c r="I123" s="20"/>
      <x:c r="J123" s="20"/>
      <x:c r="K123" s="20"/>
      <x:c r="L123" s="20"/>
      <x:c r="M123" s="20"/>
      <x:c r="N123" s="20"/>
      <x:c r="O123" s="20"/>
      <x:c r="P123" s="20"/>
      <x:c r="Q123" s="23"/>
      <x:c r="R123" s="20"/>
      <x:c r="S123" s="20"/>
      <x:c r="T123" s="20"/>
      <x:c r="U123" s="23"/>
      <x:c r="V123" s="20" t="str">
        <x:f>IF(A123="","",IF(AND(P123&lt;&gt;"Closed",Q123&lt;TODAY()),"YES","NO"))</x:f>
      </x:c>
    </x:row>
    <x:row r="124">
      <x:c r="A124" s="20"/>
      <x:c r="B124" s="20"/>
      <x:c r="C124" s="20"/>
      <x:c r="D124" s="20"/>
      <x:c r="E124" s="20"/>
      <x:c r="F124" s="20"/>
      <x:c r="G124" s="20"/>
      <x:c r="H124" s="20"/>
      <x:c r="I124" s="20"/>
      <x:c r="J124" s="20"/>
      <x:c r="K124" s="20"/>
      <x:c r="L124" s="20"/>
      <x:c r="M124" s="20"/>
      <x:c r="N124" s="20"/>
      <x:c r="O124" s="20"/>
      <x:c r="P124" s="20"/>
      <x:c r="Q124" s="23"/>
      <x:c r="R124" s="20"/>
      <x:c r="S124" s="20"/>
      <x:c r="T124" s="20"/>
      <x:c r="U124" s="23"/>
      <x:c r="V124" s="20" t="str">
        <x:f>IF(A124="","",IF(AND(P124&lt;&gt;"Closed",Q124&lt;TODAY()),"YES","NO"))</x:f>
      </x:c>
    </x:row>
    <x:row r="125">
      <x:c r="A125" s="20"/>
      <x:c r="B125" s="20"/>
      <x:c r="C125" s="20"/>
      <x:c r="D125" s="20"/>
      <x:c r="E125" s="20"/>
      <x:c r="F125" s="20"/>
      <x:c r="G125" s="20"/>
      <x:c r="H125" s="20"/>
      <x:c r="I125" s="20"/>
      <x:c r="J125" s="20"/>
      <x:c r="K125" s="20"/>
      <x:c r="L125" s="20"/>
      <x:c r="M125" s="20"/>
      <x:c r="N125" s="20"/>
      <x:c r="O125" s="20"/>
      <x:c r="P125" s="20"/>
      <x:c r="Q125" s="23"/>
      <x:c r="R125" s="20"/>
      <x:c r="S125" s="20"/>
      <x:c r="T125" s="20"/>
      <x:c r="U125" s="23"/>
      <x:c r="V125" s="20" t="str">
        <x:f>IF(A125="","",IF(AND(P125&lt;&gt;"Closed",Q125&lt;TODAY()),"YES","NO"))</x:f>
      </x:c>
    </x:row>
    <x:row r="126">
      <x:c r="A126" s="20"/>
      <x:c r="B126" s="20"/>
      <x:c r="C126" s="20"/>
      <x:c r="D126" s="20"/>
      <x:c r="E126" s="20"/>
      <x:c r="F126" s="20"/>
      <x:c r="G126" s="20"/>
      <x:c r="H126" s="20"/>
      <x:c r="I126" s="20"/>
      <x:c r="J126" s="20"/>
      <x:c r="K126" s="20"/>
      <x:c r="L126" s="20"/>
      <x:c r="M126" s="20"/>
      <x:c r="N126" s="20"/>
      <x:c r="O126" s="20"/>
      <x:c r="P126" s="20"/>
      <x:c r="Q126" s="23"/>
      <x:c r="R126" s="20"/>
      <x:c r="S126" s="20"/>
      <x:c r="T126" s="20"/>
      <x:c r="U126" s="23"/>
      <x:c r="V126" s="20" t="str">
        <x:f>IF(A126="","",IF(AND(P126&lt;&gt;"Closed",Q126&lt;TODAY()),"YES","NO"))</x:f>
      </x:c>
    </x:row>
    <x:row r="127">
      <x:c r="A127" s="20"/>
      <x:c r="B127" s="20"/>
      <x:c r="C127" s="20"/>
      <x:c r="D127" s="20"/>
      <x:c r="E127" s="20"/>
      <x:c r="F127" s="20"/>
      <x:c r="G127" s="20"/>
      <x:c r="H127" s="20"/>
      <x:c r="I127" s="20"/>
      <x:c r="J127" s="20"/>
      <x:c r="K127" s="20"/>
      <x:c r="L127" s="20"/>
      <x:c r="M127" s="20"/>
      <x:c r="N127" s="20"/>
      <x:c r="O127" s="20"/>
      <x:c r="P127" s="20"/>
      <x:c r="Q127" s="23"/>
      <x:c r="R127" s="20"/>
      <x:c r="S127" s="20"/>
      <x:c r="T127" s="20"/>
      <x:c r="U127" s="23"/>
      <x:c r="V127" s="20" t="str">
        <x:f>IF(A127="","",IF(AND(P127&lt;&gt;"Closed",Q127&lt;TODAY()),"YES","NO"))</x:f>
      </x:c>
    </x:row>
    <x:row r="128">
      <x:c r="A128" s="20"/>
      <x:c r="B128" s="20"/>
      <x:c r="C128" s="20"/>
      <x:c r="D128" s="20"/>
      <x:c r="E128" s="20"/>
      <x:c r="F128" s="20"/>
      <x:c r="G128" s="20"/>
      <x:c r="H128" s="20"/>
      <x:c r="I128" s="20"/>
      <x:c r="J128" s="20"/>
      <x:c r="K128" s="20"/>
      <x:c r="L128" s="20"/>
      <x:c r="M128" s="20"/>
      <x:c r="N128" s="20"/>
      <x:c r="O128" s="20"/>
      <x:c r="P128" s="20"/>
      <x:c r="Q128" s="23"/>
      <x:c r="R128" s="20"/>
      <x:c r="S128" s="20"/>
      <x:c r="T128" s="20"/>
      <x:c r="U128" s="23"/>
      <x:c r="V128" s="20" t="str">
        <x:f>IF(A128="","",IF(AND(P128&lt;&gt;"Closed",Q128&lt;TODAY()),"YES","NO"))</x:f>
      </x:c>
    </x:row>
    <x:row r="129">
      <x:c r="A129" s="20"/>
      <x:c r="B129" s="20"/>
      <x:c r="C129" s="20"/>
      <x:c r="D129" s="20"/>
      <x:c r="E129" s="20"/>
      <x:c r="F129" s="20"/>
      <x:c r="G129" s="20"/>
      <x:c r="H129" s="20"/>
      <x:c r="I129" s="20"/>
      <x:c r="J129" s="20"/>
      <x:c r="K129" s="20"/>
      <x:c r="L129" s="20"/>
      <x:c r="M129" s="20"/>
      <x:c r="N129" s="20"/>
      <x:c r="O129" s="20"/>
      <x:c r="P129" s="20"/>
      <x:c r="Q129" s="23"/>
      <x:c r="R129" s="20"/>
      <x:c r="S129" s="20"/>
      <x:c r="T129" s="20"/>
      <x:c r="U129" s="23"/>
      <x:c r="V129" s="20" t="str">
        <x:f>IF(A129="","",IF(AND(P129&lt;&gt;"Closed",Q129&lt;TODAY()),"YES","NO"))</x:f>
      </x:c>
    </x:row>
    <x:row r="130">
      <x:c r="A130" s="20"/>
      <x:c r="B130" s="20"/>
      <x:c r="C130" s="20"/>
      <x:c r="D130" s="20"/>
      <x:c r="E130" s="20"/>
      <x:c r="F130" s="20"/>
      <x:c r="G130" s="20"/>
      <x:c r="H130" s="20"/>
      <x:c r="I130" s="20"/>
      <x:c r="J130" s="20"/>
      <x:c r="K130" s="20"/>
      <x:c r="L130" s="20"/>
      <x:c r="M130" s="20"/>
      <x:c r="N130" s="20"/>
      <x:c r="O130" s="20"/>
      <x:c r="P130" s="20"/>
      <x:c r="Q130" s="23"/>
      <x:c r="R130" s="20"/>
      <x:c r="S130" s="20"/>
      <x:c r="T130" s="20"/>
      <x:c r="U130" s="23"/>
      <x:c r="V130" s="20" t="str">
        <x:f>IF(A130="","",IF(AND(P130&lt;&gt;"Closed",Q130&lt;TODAY()),"YES","NO"))</x:f>
      </x:c>
    </x:row>
    <x:row r="131">
      <x:c r="A131" s="20"/>
      <x:c r="B131" s="20"/>
      <x:c r="C131" s="20"/>
      <x:c r="D131" s="20"/>
      <x:c r="E131" s="20"/>
      <x:c r="F131" s="20"/>
      <x:c r="G131" s="20"/>
      <x:c r="H131" s="20"/>
      <x:c r="I131" s="20"/>
      <x:c r="J131" s="20"/>
      <x:c r="K131" s="20"/>
      <x:c r="L131" s="20"/>
      <x:c r="M131" s="20"/>
      <x:c r="N131" s="20"/>
      <x:c r="O131" s="20"/>
      <x:c r="P131" s="20"/>
      <x:c r="Q131" s="23"/>
      <x:c r="R131" s="20"/>
      <x:c r="S131" s="20"/>
      <x:c r="T131" s="20"/>
      <x:c r="U131" s="23"/>
      <x:c r="V131" s="20" t="str">
        <x:f>IF(A131="","",IF(AND(P131&lt;&gt;"Closed",Q131&lt;TODAY()),"YES","NO"))</x:f>
      </x:c>
    </x:row>
    <x:row r="132">
      <x:c r="A132" s="20"/>
      <x:c r="B132" s="20"/>
      <x:c r="C132" s="20"/>
      <x:c r="D132" s="20"/>
      <x:c r="E132" s="20"/>
      <x:c r="F132" s="20"/>
      <x:c r="G132" s="20"/>
      <x:c r="H132" s="20"/>
      <x:c r="I132" s="20"/>
      <x:c r="J132" s="20"/>
      <x:c r="K132" s="20"/>
      <x:c r="L132" s="20"/>
      <x:c r="M132" s="20"/>
      <x:c r="N132" s="20"/>
      <x:c r="O132" s="20"/>
      <x:c r="P132" s="20"/>
      <x:c r="Q132" s="23"/>
      <x:c r="R132" s="20"/>
      <x:c r="S132" s="20"/>
      <x:c r="T132" s="20"/>
      <x:c r="U132" s="23"/>
      <x:c r="V132" s="20" t="str">
        <x:f>IF(A132="","",IF(AND(P132&lt;&gt;"Closed",Q132&lt;TODAY()),"YES","NO"))</x:f>
      </x:c>
    </x:row>
    <x:row r="133">
      <x:c r="A133" s="20"/>
      <x:c r="B133" s="20"/>
      <x:c r="C133" s="20"/>
      <x:c r="D133" s="20"/>
      <x:c r="E133" s="20"/>
      <x:c r="F133" s="20"/>
      <x:c r="G133" s="20"/>
      <x:c r="H133" s="20"/>
      <x:c r="I133" s="20"/>
      <x:c r="J133" s="20"/>
      <x:c r="K133" s="20"/>
      <x:c r="L133" s="20"/>
      <x:c r="M133" s="20"/>
      <x:c r="N133" s="20"/>
      <x:c r="O133" s="20"/>
      <x:c r="P133" s="20"/>
      <x:c r="Q133" s="23"/>
      <x:c r="R133" s="20"/>
      <x:c r="S133" s="20"/>
      <x:c r="T133" s="20"/>
      <x:c r="U133" s="23"/>
      <x:c r="V133" s="20" t="str">
        <x:f>IF(A133="","",IF(AND(P133&lt;&gt;"Closed",Q133&lt;TODAY()),"YES","NO"))</x:f>
      </x:c>
    </x:row>
    <x:row r="134">
      <x:c r="A134" s="20"/>
      <x:c r="B134" s="20"/>
      <x:c r="C134" s="20"/>
      <x:c r="D134" s="20"/>
      <x:c r="E134" s="20"/>
      <x:c r="F134" s="20"/>
      <x:c r="G134" s="20"/>
      <x:c r="H134" s="20"/>
      <x:c r="I134" s="20"/>
      <x:c r="J134" s="20"/>
      <x:c r="K134" s="20"/>
      <x:c r="L134" s="20"/>
      <x:c r="M134" s="20"/>
      <x:c r="N134" s="20"/>
      <x:c r="O134" s="20"/>
      <x:c r="P134" s="20"/>
      <x:c r="Q134" s="23"/>
      <x:c r="R134" s="20"/>
      <x:c r="S134" s="20"/>
      <x:c r="T134" s="20"/>
      <x:c r="U134" s="23"/>
      <x:c r="V134" s="20" t="str">
        <x:f>IF(A134="","",IF(AND(P134&lt;&gt;"Closed",Q134&lt;TODAY()),"YES","NO"))</x:f>
      </x:c>
    </x:row>
    <x:row r="135">
      <x:c r="A135" s="20"/>
      <x:c r="B135" s="20"/>
      <x:c r="C135" s="20"/>
      <x:c r="D135" s="20"/>
      <x:c r="E135" s="20"/>
      <x:c r="F135" s="20"/>
      <x:c r="G135" s="20"/>
      <x:c r="H135" s="20"/>
      <x:c r="I135" s="20"/>
      <x:c r="J135" s="20"/>
      <x:c r="K135" s="20"/>
      <x:c r="L135" s="20"/>
      <x:c r="M135" s="20"/>
      <x:c r="N135" s="20"/>
      <x:c r="O135" s="20"/>
      <x:c r="P135" s="20"/>
      <x:c r="Q135" s="23"/>
      <x:c r="R135" s="20"/>
      <x:c r="S135" s="20"/>
      <x:c r="T135" s="20"/>
      <x:c r="U135" s="23"/>
      <x:c r="V135" s="20" t="str">
        <x:f>IF(A135="","",IF(AND(P135&lt;&gt;"Closed",Q135&lt;TODAY()),"YES","NO"))</x:f>
      </x:c>
    </x:row>
    <x:row r="136">
      <x:c r="A136" s="20"/>
      <x:c r="B136" s="20"/>
      <x:c r="C136" s="20"/>
      <x:c r="D136" s="20"/>
      <x:c r="E136" s="20"/>
      <x:c r="F136" s="20"/>
      <x:c r="G136" s="20"/>
      <x:c r="H136" s="20"/>
      <x:c r="I136" s="20"/>
      <x:c r="J136" s="20"/>
      <x:c r="K136" s="20"/>
      <x:c r="L136" s="20"/>
      <x:c r="M136" s="20"/>
      <x:c r="N136" s="20"/>
      <x:c r="O136" s="20"/>
      <x:c r="P136" s="20"/>
      <x:c r="Q136" s="23"/>
      <x:c r="R136" s="20"/>
      <x:c r="S136" s="20"/>
      <x:c r="T136" s="20"/>
      <x:c r="U136" s="23"/>
      <x:c r="V136" s="20" t="str">
        <x:f>IF(A136="","",IF(AND(P136&lt;&gt;"Closed",Q136&lt;TODAY()),"YES","NO"))</x:f>
      </x:c>
    </x:row>
    <x:row r="137">
      <x:c r="A137" s="20"/>
      <x:c r="B137" s="20"/>
      <x:c r="C137" s="20"/>
      <x:c r="D137" s="20"/>
      <x:c r="E137" s="20"/>
      <x:c r="F137" s="20"/>
      <x:c r="G137" s="20"/>
      <x:c r="H137" s="20"/>
      <x:c r="I137" s="20"/>
      <x:c r="J137" s="20"/>
      <x:c r="K137" s="20"/>
      <x:c r="L137" s="20"/>
      <x:c r="M137" s="20"/>
      <x:c r="N137" s="20"/>
      <x:c r="O137" s="20"/>
      <x:c r="P137" s="20"/>
      <x:c r="Q137" s="23"/>
      <x:c r="R137" s="20"/>
      <x:c r="S137" s="20"/>
      <x:c r="T137" s="20"/>
      <x:c r="U137" s="23"/>
      <x:c r="V137" s="20" t="str">
        <x:f>IF(A137="","",IF(AND(P137&lt;&gt;"Closed",Q137&lt;TODAY()),"YES","NO"))</x:f>
      </x:c>
    </x:row>
    <x:row r="138">
      <x:c r="A138" s="20"/>
      <x:c r="B138" s="20"/>
      <x:c r="C138" s="20"/>
      <x:c r="D138" s="20"/>
      <x:c r="E138" s="20"/>
      <x:c r="F138" s="20"/>
      <x:c r="G138" s="20"/>
      <x:c r="H138" s="20"/>
      <x:c r="I138" s="20"/>
      <x:c r="J138" s="20"/>
      <x:c r="K138" s="20"/>
      <x:c r="L138" s="20"/>
      <x:c r="M138" s="20"/>
      <x:c r="N138" s="20"/>
      <x:c r="O138" s="20"/>
      <x:c r="P138" s="20"/>
      <x:c r="Q138" s="23"/>
      <x:c r="R138" s="20"/>
      <x:c r="S138" s="20"/>
      <x:c r="T138" s="20"/>
      <x:c r="U138" s="23"/>
      <x:c r="V138" s="20" t="str">
        <x:f>IF(A138="","",IF(AND(P138&lt;&gt;"Closed",Q138&lt;TODAY()),"YES","NO"))</x:f>
      </x:c>
    </x:row>
    <x:row r="139">
      <x:c r="A139" s="20"/>
      <x:c r="B139" s="20"/>
      <x:c r="C139" s="20"/>
      <x:c r="D139" s="20"/>
      <x:c r="E139" s="20"/>
      <x:c r="F139" s="20"/>
      <x:c r="G139" s="20"/>
      <x:c r="H139" s="20"/>
      <x:c r="I139" s="20"/>
      <x:c r="J139" s="20"/>
      <x:c r="K139" s="20"/>
      <x:c r="L139" s="20"/>
      <x:c r="M139" s="20"/>
      <x:c r="N139" s="20"/>
      <x:c r="O139" s="20"/>
      <x:c r="P139" s="20"/>
      <x:c r="Q139" s="23"/>
      <x:c r="R139" s="20"/>
      <x:c r="S139" s="20"/>
      <x:c r="T139" s="20"/>
      <x:c r="U139" s="23"/>
      <x:c r="V139" s="20" t="str">
        <x:f>IF(A139="","",IF(AND(P139&lt;&gt;"Closed",Q139&lt;TODAY()),"YES","NO"))</x:f>
      </x:c>
    </x:row>
    <x:row r="140">
      <x:c r="A140" s="20"/>
      <x:c r="B140" s="20"/>
      <x:c r="C140" s="20"/>
      <x:c r="D140" s="20"/>
      <x:c r="E140" s="20"/>
      <x:c r="F140" s="20"/>
      <x:c r="G140" s="20"/>
      <x:c r="H140" s="20"/>
      <x:c r="I140" s="20"/>
      <x:c r="J140" s="20"/>
      <x:c r="K140" s="20"/>
      <x:c r="L140" s="20"/>
      <x:c r="M140" s="20"/>
      <x:c r="N140" s="20"/>
      <x:c r="O140" s="20"/>
      <x:c r="P140" s="20"/>
      <x:c r="Q140" s="23"/>
      <x:c r="R140" s="20"/>
      <x:c r="S140" s="20"/>
      <x:c r="T140" s="20"/>
      <x:c r="U140" s="23"/>
      <x:c r="V140" s="20" t="str">
        <x:f>IF(A140="","",IF(AND(P140&lt;&gt;"Closed",Q140&lt;TODAY()),"YES","NO"))</x:f>
      </x:c>
    </x:row>
    <x:row r="141">
      <x:c r="A141" s="20"/>
      <x:c r="B141" s="20"/>
      <x:c r="C141" s="20"/>
      <x:c r="D141" s="20"/>
      <x:c r="E141" s="20"/>
      <x:c r="F141" s="20"/>
      <x:c r="G141" s="20"/>
      <x:c r="H141" s="20"/>
      <x:c r="I141" s="20"/>
      <x:c r="J141" s="20"/>
      <x:c r="K141" s="20"/>
      <x:c r="L141" s="20"/>
      <x:c r="M141" s="20"/>
      <x:c r="N141" s="20"/>
      <x:c r="O141" s="20"/>
      <x:c r="P141" s="20"/>
      <x:c r="Q141" s="23"/>
      <x:c r="R141" s="20"/>
      <x:c r="S141" s="20"/>
      <x:c r="T141" s="20"/>
      <x:c r="U141" s="23"/>
      <x:c r="V141" s="20" t="str">
        <x:f>IF(A141="","",IF(AND(P141&lt;&gt;"Closed",Q141&lt;TODAY()),"YES","NO"))</x:f>
      </x:c>
    </x:row>
    <x:row r="142">
      <x:c r="A142" s="20"/>
      <x:c r="B142" s="20"/>
      <x:c r="C142" s="20"/>
      <x:c r="D142" s="20"/>
      <x:c r="E142" s="20"/>
      <x:c r="F142" s="20"/>
      <x:c r="G142" s="20"/>
      <x:c r="H142" s="20"/>
      <x:c r="I142" s="20"/>
      <x:c r="J142" s="20"/>
      <x:c r="K142" s="20"/>
      <x:c r="L142" s="20"/>
      <x:c r="M142" s="20"/>
      <x:c r="N142" s="20"/>
      <x:c r="O142" s="20"/>
      <x:c r="P142" s="20"/>
      <x:c r="Q142" s="23"/>
      <x:c r="R142" s="20"/>
      <x:c r="S142" s="20"/>
      <x:c r="T142" s="20"/>
      <x:c r="U142" s="23"/>
      <x:c r="V142" s="20" t="str">
        <x:f>IF(A142="","",IF(AND(P142&lt;&gt;"Closed",Q142&lt;TODAY()),"YES","NO"))</x:f>
      </x:c>
    </x:row>
    <x:row r="143">
      <x:c r="A143" s="20"/>
      <x:c r="B143" s="20"/>
      <x:c r="C143" s="20"/>
      <x:c r="D143" s="20"/>
      <x:c r="E143" s="20"/>
      <x:c r="F143" s="20"/>
      <x:c r="G143" s="20"/>
      <x:c r="H143" s="20"/>
      <x:c r="I143" s="20"/>
      <x:c r="J143" s="20"/>
      <x:c r="K143" s="20"/>
      <x:c r="L143" s="20"/>
      <x:c r="M143" s="20"/>
      <x:c r="N143" s="20"/>
      <x:c r="O143" s="20"/>
      <x:c r="P143" s="20"/>
      <x:c r="Q143" s="23"/>
      <x:c r="R143" s="20"/>
      <x:c r="S143" s="20"/>
      <x:c r="T143" s="20"/>
      <x:c r="U143" s="23"/>
      <x:c r="V143" s="20" t="str">
        <x:f>IF(A143="","",IF(AND(P143&lt;&gt;"Closed",Q143&lt;TODAY()),"YES","NO"))</x:f>
      </x:c>
    </x:row>
    <x:row r="144">
      <x:c r="A144" s="20"/>
      <x:c r="B144" s="20"/>
      <x:c r="C144" s="20"/>
      <x:c r="D144" s="20"/>
      <x:c r="E144" s="20"/>
      <x:c r="F144" s="20"/>
      <x:c r="G144" s="20"/>
      <x:c r="H144" s="20"/>
      <x:c r="I144" s="20"/>
      <x:c r="J144" s="20"/>
      <x:c r="K144" s="20"/>
      <x:c r="L144" s="20"/>
      <x:c r="M144" s="20"/>
      <x:c r="N144" s="20"/>
      <x:c r="O144" s="20"/>
      <x:c r="P144" s="20"/>
      <x:c r="Q144" s="23"/>
      <x:c r="R144" s="20"/>
      <x:c r="S144" s="20"/>
      <x:c r="T144" s="20"/>
      <x:c r="U144" s="23"/>
      <x:c r="V144" s="20" t="str">
        <x:f>IF(A144="","",IF(AND(P144&lt;&gt;"Closed",Q144&lt;TODAY()),"YES","NO"))</x:f>
      </x:c>
    </x:row>
    <x:row r="145">
      <x:c r="A145" s="20"/>
      <x:c r="B145" s="20"/>
      <x:c r="C145" s="20"/>
      <x:c r="D145" s="20"/>
      <x:c r="E145" s="20"/>
      <x:c r="F145" s="20"/>
      <x:c r="G145" s="20"/>
      <x:c r="H145" s="20"/>
      <x:c r="I145" s="20"/>
      <x:c r="J145" s="20"/>
      <x:c r="K145" s="20"/>
      <x:c r="L145" s="20"/>
      <x:c r="M145" s="20"/>
      <x:c r="N145" s="20"/>
      <x:c r="O145" s="20"/>
      <x:c r="P145" s="20"/>
      <x:c r="Q145" s="23"/>
      <x:c r="R145" s="20"/>
      <x:c r="S145" s="20"/>
      <x:c r="T145" s="20"/>
      <x:c r="U145" s="23"/>
      <x:c r="V145" s="20" t="str">
        <x:f>IF(A145="","",IF(AND(P145&lt;&gt;"Closed",Q145&lt;TODAY()),"YES","NO"))</x:f>
      </x:c>
    </x:row>
    <x:row r="146">
      <x:c r="A146" s="20"/>
      <x:c r="B146" s="20"/>
      <x:c r="C146" s="20"/>
      <x:c r="D146" s="20"/>
      <x:c r="E146" s="20"/>
      <x:c r="F146" s="20"/>
      <x:c r="G146" s="20"/>
      <x:c r="H146" s="20"/>
      <x:c r="I146" s="20"/>
      <x:c r="J146" s="20"/>
      <x:c r="K146" s="20"/>
      <x:c r="L146" s="20"/>
      <x:c r="M146" s="20"/>
      <x:c r="N146" s="20"/>
      <x:c r="O146" s="20"/>
      <x:c r="P146" s="20"/>
      <x:c r="Q146" s="23"/>
      <x:c r="R146" s="20"/>
      <x:c r="S146" s="20"/>
      <x:c r="T146" s="20"/>
      <x:c r="U146" s="23"/>
      <x:c r="V146" s="20" t="str">
        <x:f>IF(A146="","",IF(AND(P146&lt;&gt;"Closed",Q146&lt;TODAY()),"YES","NO"))</x:f>
      </x:c>
    </x:row>
    <x:row r="147">
      <x:c r="A147" s="20"/>
      <x:c r="B147" s="20"/>
      <x:c r="C147" s="20"/>
      <x:c r="D147" s="20"/>
      <x:c r="E147" s="20"/>
      <x:c r="F147" s="20"/>
      <x:c r="G147" s="20"/>
      <x:c r="H147" s="20"/>
      <x:c r="I147" s="20"/>
      <x:c r="J147" s="20"/>
      <x:c r="K147" s="20"/>
      <x:c r="L147" s="20"/>
      <x:c r="M147" s="20"/>
      <x:c r="N147" s="20"/>
      <x:c r="O147" s="20"/>
      <x:c r="P147" s="20"/>
      <x:c r="Q147" s="23"/>
      <x:c r="R147" s="20"/>
      <x:c r="S147" s="20"/>
      <x:c r="T147" s="20"/>
      <x:c r="U147" s="23"/>
      <x:c r="V147" s="20" t="str">
        <x:f>IF(A147="","",IF(AND(P147&lt;&gt;"Closed",Q147&lt;TODAY()),"YES","NO"))</x:f>
      </x:c>
    </x:row>
    <x:row r="148">
      <x:c r="A148" s="20"/>
      <x:c r="B148" s="20"/>
      <x:c r="C148" s="20"/>
      <x:c r="D148" s="20"/>
      <x:c r="E148" s="20"/>
      <x:c r="F148" s="20"/>
      <x:c r="G148" s="20"/>
      <x:c r="H148" s="20"/>
      <x:c r="I148" s="20"/>
      <x:c r="J148" s="20"/>
      <x:c r="K148" s="20"/>
      <x:c r="L148" s="20"/>
      <x:c r="M148" s="20"/>
      <x:c r="N148" s="20"/>
      <x:c r="O148" s="20"/>
      <x:c r="P148" s="20"/>
      <x:c r="Q148" s="23"/>
      <x:c r="R148" s="20"/>
      <x:c r="S148" s="20"/>
      <x:c r="T148" s="20"/>
      <x:c r="U148" s="23"/>
      <x:c r="V148" s="20" t="str">
        <x:f>IF(A148="","",IF(AND(P148&lt;&gt;"Closed",Q148&lt;TODAY()),"YES","NO"))</x:f>
      </x:c>
    </x:row>
    <x:row r="149">
      <x:c r="A149" s="20"/>
      <x:c r="B149" s="20"/>
      <x:c r="C149" s="20"/>
      <x:c r="D149" s="20"/>
      <x:c r="E149" s="20"/>
      <x:c r="F149" s="20"/>
      <x:c r="G149" s="20"/>
      <x:c r="H149" s="20"/>
      <x:c r="I149" s="20"/>
      <x:c r="J149" s="20"/>
      <x:c r="K149" s="20"/>
      <x:c r="L149" s="20"/>
      <x:c r="M149" s="20"/>
      <x:c r="N149" s="20"/>
      <x:c r="O149" s="20"/>
      <x:c r="P149" s="20"/>
      <x:c r="Q149" s="23"/>
      <x:c r="R149" s="20"/>
      <x:c r="S149" s="20"/>
      <x:c r="T149" s="20"/>
      <x:c r="U149" s="23"/>
      <x:c r="V149" s="20" t="str">
        <x:f>IF(A149="","",IF(AND(P149&lt;&gt;"Closed",Q149&lt;TODAY()),"YES","NO"))</x:f>
      </x:c>
    </x:row>
    <x:row r="150">
      <x:c r="A150" s="20"/>
      <x:c r="B150" s="20"/>
      <x:c r="C150" s="20"/>
      <x:c r="D150" s="20"/>
      <x:c r="E150" s="20"/>
      <x:c r="F150" s="20"/>
      <x:c r="G150" s="20"/>
      <x:c r="H150" s="20"/>
      <x:c r="I150" s="20"/>
      <x:c r="J150" s="20"/>
      <x:c r="K150" s="20"/>
      <x:c r="L150" s="20"/>
      <x:c r="M150" s="20"/>
      <x:c r="N150" s="20"/>
      <x:c r="O150" s="20"/>
      <x:c r="P150" s="20"/>
      <x:c r="Q150" s="23"/>
      <x:c r="R150" s="20"/>
      <x:c r="S150" s="20"/>
      <x:c r="T150" s="20"/>
      <x:c r="U150" s="23"/>
      <x:c r="V150" s="20" t="str">
        <x:f>IF(A150="","",IF(AND(P150&lt;&gt;"Closed",Q150&lt;TODAY()),"YES","NO"))</x:f>
      </x:c>
    </x:row>
    <x:row r="151">
      <x:c r="A151" s="20"/>
      <x:c r="B151" s="20"/>
      <x:c r="C151" s="20"/>
      <x:c r="D151" s="20"/>
      <x:c r="E151" s="20"/>
      <x:c r="F151" s="20"/>
      <x:c r="G151" s="20"/>
      <x:c r="H151" s="20"/>
      <x:c r="I151" s="20"/>
      <x:c r="J151" s="20"/>
      <x:c r="K151" s="20"/>
      <x:c r="L151" s="20"/>
      <x:c r="M151" s="20"/>
      <x:c r="N151" s="20"/>
      <x:c r="O151" s="20"/>
      <x:c r="P151" s="20"/>
      <x:c r="Q151" s="23"/>
      <x:c r="R151" s="20"/>
      <x:c r="S151" s="20"/>
      <x:c r="T151" s="20"/>
      <x:c r="U151" s="23"/>
      <x:c r="V151" s="20" t="str">
        <x:f>IF(A151="","",IF(AND(P151&lt;&gt;"Closed",Q151&lt;TODAY()),"YES","NO"))</x:f>
      </x:c>
    </x:row>
    <x:row r="152">
      <x:c r="A152" s="20"/>
      <x:c r="B152" s="20"/>
      <x:c r="C152" s="20"/>
      <x:c r="D152" s="20"/>
      <x:c r="E152" s="20"/>
      <x:c r="F152" s="20"/>
      <x:c r="G152" s="20"/>
      <x:c r="H152" s="20"/>
      <x:c r="I152" s="20"/>
      <x:c r="J152" s="20"/>
      <x:c r="K152" s="20"/>
      <x:c r="L152" s="20"/>
      <x:c r="M152" s="20"/>
      <x:c r="N152" s="20"/>
      <x:c r="O152" s="20"/>
      <x:c r="P152" s="20"/>
      <x:c r="Q152" s="23"/>
      <x:c r="R152" s="20"/>
      <x:c r="S152" s="20"/>
      <x:c r="T152" s="20"/>
      <x:c r="U152" s="23"/>
      <x:c r="V152" s="20" t="str">
        <x:f>IF(A152="","",IF(AND(P152&lt;&gt;"Closed",Q152&lt;TODAY()),"YES","NO"))</x:f>
      </x:c>
    </x:row>
    <x:row r="153">
      <x:c r="A153" s="20"/>
      <x:c r="B153" s="20"/>
      <x:c r="C153" s="20"/>
      <x:c r="D153" s="20"/>
      <x:c r="E153" s="20"/>
      <x:c r="F153" s="20"/>
      <x:c r="G153" s="20"/>
      <x:c r="H153" s="20"/>
      <x:c r="I153" s="20"/>
      <x:c r="J153" s="20"/>
      <x:c r="K153" s="20"/>
      <x:c r="L153" s="20"/>
      <x:c r="M153" s="20"/>
      <x:c r="N153" s="20"/>
      <x:c r="O153" s="20"/>
      <x:c r="P153" s="20"/>
      <x:c r="Q153" s="23"/>
      <x:c r="R153" s="20"/>
      <x:c r="S153" s="20"/>
      <x:c r="T153" s="20"/>
      <x:c r="U153" s="23"/>
      <x:c r="V153" s="20" t="str">
        <x:f>IF(A153="","",IF(AND(P153&lt;&gt;"Closed",Q153&lt;TODAY()),"YES","NO"))</x:f>
      </x:c>
    </x:row>
    <x:row r="154">
      <x:c r="A154" s="20"/>
      <x:c r="B154" s="20"/>
      <x:c r="C154" s="20"/>
      <x:c r="D154" s="20"/>
      <x:c r="E154" s="20"/>
      <x:c r="F154" s="20"/>
      <x:c r="G154" s="20"/>
      <x:c r="H154" s="20"/>
      <x:c r="I154" s="20"/>
      <x:c r="J154" s="20"/>
      <x:c r="K154" s="20"/>
      <x:c r="L154" s="20"/>
      <x:c r="M154" s="20"/>
      <x:c r="N154" s="20"/>
      <x:c r="O154" s="20"/>
      <x:c r="P154" s="20"/>
      <x:c r="Q154" s="23"/>
      <x:c r="R154" s="20"/>
      <x:c r="S154" s="20"/>
      <x:c r="T154" s="20"/>
      <x:c r="U154" s="23"/>
      <x:c r="V154" s="20" t="str">
        <x:f>IF(A154="","",IF(AND(P154&lt;&gt;"Closed",Q154&lt;TODAY()),"YES","NO"))</x:f>
      </x:c>
    </x:row>
    <x:row r="155">
      <x:c r="A155" s="20"/>
      <x:c r="B155" s="20"/>
      <x:c r="C155" s="20"/>
      <x:c r="D155" s="20"/>
      <x:c r="E155" s="20"/>
      <x:c r="F155" s="20"/>
      <x:c r="G155" s="20"/>
      <x:c r="H155" s="20"/>
      <x:c r="I155" s="20"/>
      <x:c r="J155" s="20"/>
      <x:c r="K155" s="20"/>
      <x:c r="L155" s="20"/>
      <x:c r="M155" s="20"/>
      <x:c r="N155" s="20"/>
      <x:c r="O155" s="20"/>
      <x:c r="P155" s="20"/>
      <x:c r="Q155" s="23"/>
      <x:c r="R155" s="20"/>
      <x:c r="S155" s="20"/>
      <x:c r="T155" s="20"/>
      <x:c r="U155" s="23"/>
      <x:c r="V155" s="20" t="str">
        <x:f>IF(A155="","",IF(AND(P155&lt;&gt;"Closed",Q155&lt;TODAY()),"YES","NO"))</x:f>
      </x:c>
    </x:row>
    <x:row r="156">
      <x:c r="A156" s="20"/>
      <x:c r="B156" s="20"/>
      <x:c r="C156" s="20"/>
      <x:c r="D156" s="20"/>
      <x:c r="E156" s="20"/>
      <x:c r="F156" s="20"/>
      <x:c r="G156" s="20"/>
      <x:c r="H156" s="20"/>
      <x:c r="I156" s="20"/>
      <x:c r="J156" s="20"/>
      <x:c r="K156" s="20"/>
      <x:c r="L156" s="20"/>
      <x:c r="M156" s="20"/>
      <x:c r="N156" s="20"/>
      <x:c r="O156" s="20"/>
      <x:c r="P156" s="20"/>
      <x:c r="Q156" s="23"/>
      <x:c r="R156" s="20"/>
      <x:c r="S156" s="20"/>
      <x:c r="T156" s="20"/>
      <x:c r="U156" s="23"/>
      <x:c r="V156" s="20" t="str">
        <x:f>IF(A156="","",IF(AND(P156&lt;&gt;"Closed",Q156&lt;TODAY()),"YES","NO"))</x:f>
      </x:c>
    </x:row>
    <x:row r="157">
      <x:c r="A157" s="20"/>
      <x:c r="B157" s="20"/>
      <x:c r="C157" s="20"/>
      <x:c r="D157" s="20"/>
      <x:c r="E157" s="20"/>
      <x:c r="F157" s="20"/>
      <x:c r="G157" s="20"/>
      <x:c r="H157" s="20"/>
      <x:c r="I157" s="20"/>
      <x:c r="J157" s="20"/>
      <x:c r="K157" s="20"/>
      <x:c r="L157" s="20"/>
      <x:c r="M157" s="20"/>
      <x:c r="N157" s="20"/>
      <x:c r="O157" s="20"/>
      <x:c r="P157" s="20"/>
      <x:c r="Q157" s="23"/>
      <x:c r="R157" s="20"/>
      <x:c r="S157" s="20"/>
      <x:c r="T157" s="20"/>
      <x:c r="U157" s="23"/>
      <x:c r="V157" s="20" t="str">
        <x:f>IF(A157="","",IF(AND(P157&lt;&gt;"Closed",Q157&lt;TODAY()),"YES","NO"))</x:f>
      </x:c>
    </x:row>
    <x:row r="158">
      <x:c r="A158" s="20"/>
      <x:c r="B158" s="20"/>
      <x:c r="C158" s="20"/>
      <x:c r="D158" s="20"/>
      <x:c r="E158" s="20"/>
      <x:c r="F158" s="20"/>
      <x:c r="G158" s="20"/>
      <x:c r="H158" s="20"/>
      <x:c r="I158" s="20"/>
      <x:c r="J158" s="20"/>
      <x:c r="K158" s="20"/>
      <x:c r="L158" s="20"/>
      <x:c r="M158" s="20"/>
      <x:c r="N158" s="20"/>
      <x:c r="O158" s="20"/>
      <x:c r="P158" s="20"/>
      <x:c r="Q158" s="23"/>
      <x:c r="R158" s="20"/>
      <x:c r="S158" s="20"/>
      <x:c r="T158" s="20"/>
      <x:c r="U158" s="23"/>
      <x:c r="V158" s="20" t="str">
        <x:f>IF(A158="","",IF(AND(P158&lt;&gt;"Closed",Q158&lt;TODAY()),"YES","NO"))</x:f>
      </x:c>
    </x:row>
    <x:row r="159">
      <x:c r="A159" s="20"/>
      <x:c r="B159" s="20"/>
      <x:c r="C159" s="20"/>
      <x:c r="D159" s="20"/>
      <x:c r="E159" s="20"/>
      <x:c r="F159" s="20"/>
      <x:c r="G159" s="20"/>
      <x:c r="H159" s="20"/>
      <x:c r="I159" s="20"/>
      <x:c r="J159" s="20"/>
      <x:c r="K159" s="20"/>
      <x:c r="L159" s="20"/>
      <x:c r="M159" s="20"/>
      <x:c r="N159" s="20"/>
      <x:c r="O159" s="20"/>
      <x:c r="P159" s="20"/>
      <x:c r="Q159" s="23"/>
      <x:c r="R159" s="20"/>
      <x:c r="S159" s="20"/>
      <x:c r="T159" s="20"/>
      <x:c r="U159" s="23"/>
      <x:c r="V159" s="20" t="str">
        <x:f>IF(A159="","",IF(AND(P159&lt;&gt;"Closed",Q159&lt;TODAY()),"YES","NO"))</x:f>
      </x:c>
    </x:row>
    <x:row r="160">
      <x:c r="A160" s="20"/>
      <x:c r="B160" s="20"/>
      <x:c r="C160" s="20"/>
      <x:c r="D160" s="20"/>
      <x:c r="E160" s="20"/>
      <x:c r="F160" s="20"/>
      <x:c r="G160" s="20"/>
      <x:c r="H160" s="20"/>
      <x:c r="I160" s="20"/>
      <x:c r="J160" s="20"/>
      <x:c r="K160" s="20"/>
      <x:c r="L160" s="20"/>
      <x:c r="M160" s="20"/>
      <x:c r="N160" s="20"/>
      <x:c r="O160" s="20"/>
      <x:c r="P160" s="20"/>
      <x:c r="Q160" s="23"/>
      <x:c r="R160" s="20"/>
      <x:c r="S160" s="20"/>
      <x:c r="T160" s="20"/>
      <x:c r="U160" s="23"/>
      <x:c r="V160" s="20" t="str">
        <x:f>IF(A160="","",IF(AND(P160&lt;&gt;"Closed",Q160&lt;TODAY()),"YES","NO"))</x:f>
      </x:c>
    </x:row>
    <x:row r="161">
      <x:c r="A161" s="20"/>
      <x:c r="B161" s="20"/>
      <x:c r="C161" s="20"/>
      <x:c r="D161" s="20"/>
      <x:c r="E161" s="20"/>
      <x:c r="F161" s="20"/>
      <x:c r="G161" s="20"/>
      <x:c r="H161" s="20"/>
      <x:c r="I161" s="20"/>
      <x:c r="J161" s="20"/>
      <x:c r="K161" s="20"/>
      <x:c r="L161" s="20"/>
      <x:c r="M161" s="20"/>
      <x:c r="N161" s="20"/>
      <x:c r="O161" s="20"/>
      <x:c r="P161" s="20"/>
      <x:c r="Q161" s="23"/>
      <x:c r="R161" s="20"/>
      <x:c r="S161" s="20"/>
      <x:c r="T161" s="20"/>
      <x:c r="U161" s="23"/>
      <x:c r="V161" s="20" t="str">
        <x:f>IF(A161="","",IF(AND(P161&lt;&gt;"Closed",Q161&lt;TODAY()),"YES","NO"))</x:f>
      </x:c>
    </x:row>
    <x:row r="162">
      <x:c r="A162" s="20"/>
      <x:c r="B162" s="20"/>
      <x:c r="C162" s="20"/>
      <x:c r="D162" s="20"/>
      <x:c r="E162" s="20"/>
      <x:c r="F162" s="20"/>
      <x:c r="G162" s="20"/>
      <x:c r="H162" s="20"/>
      <x:c r="I162" s="20"/>
      <x:c r="J162" s="20"/>
      <x:c r="K162" s="20"/>
      <x:c r="L162" s="20"/>
      <x:c r="M162" s="20"/>
      <x:c r="N162" s="20"/>
      <x:c r="O162" s="20"/>
      <x:c r="P162" s="20"/>
      <x:c r="Q162" s="23"/>
      <x:c r="R162" s="20"/>
      <x:c r="S162" s="20"/>
      <x:c r="T162" s="20"/>
      <x:c r="U162" s="23"/>
      <x:c r="V162" s="20" t="str">
        <x:f>IF(A162="","",IF(AND(P162&lt;&gt;"Closed",Q162&lt;TODAY()),"YES","NO"))</x:f>
      </x:c>
    </x:row>
    <x:row r="163">
      <x:c r="A163" s="20"/>
      <x:c r="B163" s="20"/>
      <x:c r="C163" s="20"/>
      <x:c r="D163" s="20"/>
      <x:c r="E163" s="20"/>
      <x:c r="F163" s="20"/>
      <x:c r="G163" s="20"/>
      <x:c r="H163" s="20"/>
      <x:c r="I163" s="20"/>
      <x:c r="J163" s="20"/>
      <x:c r="K163" s="20"/>
      <x:c r="L163" s="20"/>
      <x:c r="M163" s="20"/>
      <x:c r="N163" s="20"/>
      <x:c r="O163" s="20"/>
      <x:c r="P163" s="20"/>
      <x:c r="Q163" s="23"/>
      <x:c r="R163" s="20"/>
      <x:c r="S163" s="20"/>
      <x:c r="T163" s="20"/>
      <x:c r="U163" s="23"/>
      <x:c r="V163" s="20" t="str">
        <x:f>IF(A163="","",IF(AND(P163&lt;&gt;"Closed",Q163&lt;TODAY()),"YES","NO"))</x:f>
      </x:c>
    </x:row>
    <x:row r="164">
      <x:c r="A164" s="20"/>
      <x:c r="B164" s="20"/>
      <x:c r="C164" s="20"/>
      <x:c r="D164" s="20"/>
      <x:c r="E164" s="20"/>
      <x:c r="F164" s="20"/>
      <x:c r="G164" s="20"/>
      <x:c r="H164" s="20"/>
      <x:c r="I164" s="20"/>
      <x:c r="J164" s="20"/>
      <x:c r="K164" s="20"/>
      <x:c r="L164" s="20"/>
      <x:c r="M164" s="20"/>
      <x:c r="N164" s="20"/>
      <x:c r="O164" s="20"/>
      <x:c r="P164" s="20"/>
      <x:c r="Q164" s="23"/>
      <x:c r="R164" s="20"/>
      <x:c r="S164" s="20"/>
      <x:c r="T164" s="20"/>
      <x:c r="U164" s="23"/>
      <x:c r="V164" s="20" t="str">
        <x:f>IF(A164="","",IF(AND(P164&lt;&gt;"Closed",Q164&lt;TODAY()),"YES","NO"))</x:f>
      </x:c>
    </x:row>
    <x:row r="165">
      <x:c r="A165" s="20"/>
      <x:c r="B165" s="20"/>
      <x:c r="C165" s="20"/>
      <x:c r="D165" s="20"/>
      <x:c r="E165" s="20"/>
      <x:c r="F165" s="20"/>
      <x:c r="G165" s="20"/>
      <x:c r="H165" s="20"/>
      <x:c r="I165" s="20"/>
      <x:c r="J165" s="20"/>
      <x:c r="K165" s="20"/>
      <x:c r="L165" s="20"/>
      <x:c r="M165" s="20"/>
      <x:c r="N165" s="20"/>
      <x:c r="O165" s="20"/>
      <x:c r="P165" s="20"/>
      <x:c r="Q165" s="23"/>
      <x:c r="R165" s="20"/>
      <x:c r="S165" s="20"/>
      <x:c r="T165" s="20"/>
      <x:c r="U165" s="23"/>
      <x:c r="V165" s="20" t="str">
        <x:f>IF(A165="","",IF(AND(P165&lt;&gt;"Closed",Q165&lt;TODAY()),"YES","NO"))</x:f>
      </x:c>
    </x:row>
    <x:row r="166">
      <x:c r="A166" s="20"/>
      <x:c r="B166" s="20"/>
      <x:c r="C166" s="20"/>
      <x:c r="D166" s="20"/>
      <x:c r="E166" s="20"/>
      <x:c r="F166" s="20"/>
      <x:c r="G166" s="20"/>
      <x:c r="H166" s="20"/>
      <x:c r="I166" s="20"/>
      <x:c r="J166" s="20"/>
      <x:c r="K166" s="20"/>
      <x:c r="L166" s="20"/>
      <x:c r="M166" s="20"/>
      <x:c r="N166" s="20"/>
      <x:c r="O166" s="20"/>
      <x:c r="P166" s="20"/>
      <x:c r="Q166" s="23"/>
      <x:c r="R166" s="20"/>
      <x:c r="S166" s="20"/>
      <x:c r="T166" s="20"/>
      <x:c r="U166" s="23"/>
      <x:c r="V166" s="20" t="str">
        <x:f>IF(A166="","",IF(AND(P166&lt;&gt;"Closed",Q166&lt;TODAY()),"YES","NO"))</x:f>
      </x:c>
    </x:row>
    <x:row r="167">
      <x:c r="A167" s="20"/>
      <x:c r="B167" s="20"/>
      <x:c r="C167" s="20"/>
      <x:c r="D167" s="20"/>
      <x:c r="E167" s="20"/>
      <x:c r="F167" s="20"/>
      <x:c r="G167" s="20"/>
      <x:c r="H167" s="20"/>
      <x:c r="I167" s="20"/>
      <x:c r="J167" s="20"/>
      <x:c r="K167" s="20"/>
      <x:c r="L167" s="20"/>
      <x:c r="M167" s="20"/>
      <x:c r="N167" s="20"/>
      <x:c r="O167" s="20"/>
      <x:c r="P167" s="20"/>
      <x:c r="Q167" s="23"/>
      <x:c r="R167" s="20"/>
      <x:c r="S167" s="20"/>
      <x:c r="T167" s="20"/>
      <x:c r="U167" s="23"/>
      <x:c r="V167" s="20" t="str">
        <x:f>IF(A167="","",IF(AND(P167&lt;&gt;"Closed",Q167&lt;TODAY()),"YES","NO"))</x:f>
      </x:c>
    </x:row>
    <x:row r="168">
      <x:c r="A168" s="20"/>
      <x:c r="B168" s="20"/>
      <x:c r="C168" s="20"/>
      <x:c r="D168" s="20"/>
      <x:c r="E168" s="20"/>
      <x:c r="F168" s="20"/>
      <x:c r="G168" s="20"/>
      <x:c r="H168" s="20"/>
      <x:c r="I168" s="20"/>
      <x:c r="J168" s="20"/>
      <x:c r="K168" s="20"/>
      <x:c r="L168" s="20"/>
      <x:c r="M168" s="20"/>
      <x:c r="N168" s="20"/>
      <x:c r="O168" s="20"/>
      <x:c r="P168" s="20"/>
      <x:c r="Q168" s="23"/>
      <x:c r="R168" s="20"/>
      <x:c r="S168" s="20"/>
      <x:c r="T168" s="20"/>
      <x:c r="U168" s="23"/>
      <x:c r="V168" s="20" t="str">
        <x:f>IF(A168="","",IF(AND(P168&lt;&gt;"Closed",Q168&lt;TODAY()),"YES","NO"))</x:f>
      </x:c>
    </x:row>
    <x:row r="169">
      <x:c r="A169" s="20"/>
      <x:c r="B169" s="20"/>
      <x:c r="C169" s="20"/>
      <x:c r="D169" s="20"/>
      <x:c r="E169" s="20"/>
      <x:c r="F169" s="20"/>
      <x:c r="G169" s="20"/>
      <x:c r="H169" s="20"/>
      <x:c r="I169" s="20"/>
      <x:c r="J169" s="20"/>
      <x:c r="K169" s="20"/>
      <x:c r="L169" s="20"/>
      <x:c r="M169" s="20"/>
      <x:c r="N169" s="20"/>
      <x:c r="O169" s="20"/>
      <x:c r="P169" s="20"/>
      <x:c r="Q169" s="23"/>
      <x:c r="R169" s="20"/>
      <x:c r="S169" s="20"/>
      <x:c r="T169" s="20"/>
      <x:c r="U169" s="23"/>
      <x:c r="V169" s="20" t="str">
        <x:f>IF(A169="","",IF(AND(P169&lt;&gt;"Closed",Q169&lt;TODAY()),"YES","NO"))</x:f>
      </x:c>
    </x:row>
    <x:row r="170">
      <x:c r="A170" s="20"/>
      <x:c r="B170" s="20"/>
      <x:c r="C170" s="20"/>
      <x:c r="D170" s="20"/>
      <x:c r="E170" s="20"/>
      <x:c r="F170" s="20"/>
      <x:c r="G170" s="20"/>
      <x:c r="H170" s="20"/>
      <x:c r="I170" s="20"/>
      <x:c r="J170" s="20"/>
      <x:c r="K170" s="20"/>
      <x:c r="L170" s="20"/>
      <x:c r="M170" s="20"/>
      <x:c r="N170" s="20"/>
      <x:c r="O170" s="20"/>
      <x:c r="P170" s="20"/>
      <x:c r="Q170" s="23"/>
      <x:c r="R170" s="20"/>
      <x:c r="S170" s="20"/>
      <x:c r="T170" s="20"/>
      <x:c r="U170" s="23"/>
      <x:c r="V170" s="20" t="str">
        <x:f>IF(A170="","",IF(AND(P170&lt;&gt;"Closed",Q170&lt;TODAY()),"YES","NO"))</x:f>
      </x:c>
    </x:row>
    <x:row r="171">
      <x:c r="A171" s="20"/>
      <x:c r="B171" s="20"/>
      <x:c r="C171" s="20"/>
      <x:c r="D171" s="20"/>
      <x:c r="E171" s="20"/>
      <x:c r="F171" s="20"/>
      <x:c r="G171" s="20"/>
      <x:c r="H171" s="20"/>
      <x:c r="I171" s="20"/>
      <x:c r="J171" s="20"/>
      <x:c r="K171" s="20"/>
      <x:c r="L171" s="20"/>
      <x:c r="M171" s="20"/>
      <x:c r="N171" s="20"/>
      <x:c r="O171" s="20"/>
      <x:c r="P171" s="20"/>
      <x:c r="Q171" s="23"/>
      <x:c r="R171" s="20"/>
      <x:c r="S171" s="20"/>
      <x:c r="T171" s="20"/>
      <x:c r="U171" s="23"/>
      <x:c r="V171" s="20" t="str">
        <x:f>IF(A171="","",IF(AND(P171&lt;&gt;"Closed",Q171&lt;TODAY()),"YES","NO"))</x:f>
      </x:c>
    </x:row>
    <x:row r="172">
      <x:c r="A172" s="20"/>
      <x:c r="B172" s="20"/>
      <x:c r="C172" s="20"/>
      <x:c r="D172" s="20"/>
      <x:c r="E172" s="20"/>
      <x:c r="F172" s="20"/>
      <x:c r="G172" s="20"/>
      <x:c r="H172" s="20"/>
      <x:c r="I172" s="20"/>
      <x:c r="J172" s="20"/>
      <x:c r="K172" s="20"/>
      <x:c r="L172" s="20"/>
      <x:c r="M172" s="20"/>
      <x:c r="N172" s="20"/>
      <x:c r="O172" s="20"/>
      <x:c r="P172" s="20"/>
      <x:c r="Q172" s="23"/>
      <x:c r="R172" s="20"/>
      <x:c r="S172" s="20"/>
      <x:c r="T172" s="20"/>
      <x:c r="U172" s="23"/>
      <x:c r="V172" s="20" t="str">
        <x:f>IF(A172="","",IF(AND(P172&lt;&gt;"Closed",Q172&lt;TODAY()),"YES","NO"))</x:f>
      </x:c>
    </x:row>
    <x:row r="173">
      <x:c r="A173" s="20"/>
      <x:c r="B173" s="20"/>
      <x:c r="C173" s="20"/>
      <x:c r="D173" s="20"/>
      <x:c r="E173" s="20"/>
      <x:c r="F173" s="20"/>
      <x:c r="G173" s="20"/>
      <x:c r="H173" s="20"/>
      <x:c r="I173" s="20"/>
      <x:c r="J173" s="20"/>
      <x:c r="K173" s="20"/>
      <x:c r="L173" s="20"/>
      <x:c r="M173" s="20"/>
      <x:c r="N173" s="20"/>
      <x:c r="O173" s="20"/>
      <x:c r="P173" s="20"/>
      <x:c r="Q173" s="23"/>
      <x:c r="R173" s="20"/>
      <x:c r="S173" s="20"/>
      <x:c r="T173" s="20"/>
      <x:c r="U173" s="23"/>
      <x:c r="V173" s="20" t="str">
        <x:f>IF(A173="","",IF(AND(P173&lt;&gt;"Closed",Q173&lt;TODAY()),"YES","NO"))</x:f>
      </x:c>
    </x:row>
    <x:row r="174">
      <x:c r="A174" s="20"/>
      <x:c r="B174" s="20"/>
      <x:c r="C174" s="20"/>
      <x:c r="D174" s="20"/>
      <x:c r="E174" s="20"/>
      <x:c r="F174" s="20"/>
      <x:c r="G174" s="20"/>
      <x:c r="H174" s="20"/>
      <x:c r="I174" s="20"/>
      <x:c r="J174" s="20"/>
      <x:c r="K174" s="20"/>
      <x:c r="L174" s="20"/>
      <x:c r="M174" s="20"/>
      <x:c r="N174" s="20"/>
      <x:c r="O174" s="20"/>
      <x:c r="P174" s="20"/>
      <x:c r="Q174" s="23"/>
      <x:c r="R174" s="20"/>
      <x:c r="S174" s="20"/>
      <x:c r="T174" s="20"/>
      <x:c r="U174" s="23"/>
      <x:c r="V174" s="20" t="str">
        <x:f>IF(A174="","",IF(AND(P174&lt;&gt;"Closed",Q174&lt;TODAY()),"YES","NO"))</x:f>
      </x:c>
    </x:row>
    <x:row r="175">
      <x:c r="A175" s="20"/>
      <x:c r="B175" s="20"/>
      <x:c r="C175" s="20"/>
      <x:c r="D175" s="20"/>
      <x:c r="E175" s="20"/>
      <x:c r="F175" s="20"/>
      <x:c r="G175" s="20"/>
      <x:c r="H175" s="20"/>
      <x:c r="I175" s="20"/>
      <x:c r="J175" s="20"/>
      <x:c r="K175" s="20"/>
      <x:c r="L175" s="20"/>
      <x:c r="M175" s="20"/>
      <x:c r="N175" s="20"/>
      <x:c r="O175" s="20"/>
      <x:c r="P175" s="20"/>
      <x:c r="Q175" s="23"/>
      <x:c r="R175" s="20"/>
      <x:c r="S175" s="20"/>
      <x:c r="T175" s="20"/>
      <x:c r="U175" s="23"/>
      <x:c r="V175" s="20" t="str">
        <x:f>IF(A175="","",IF(AND(P175&lt;&gt;"Closed",Q175&lt;TODAY()),"YES","NO"))</x:f>
      </x:c>
    </x:row>
    <x:row r="176">
      <x:c r="A176" s="20"/>
      <x:c r="B176" s="20"/>
      <x:c r="C176" s="20"/>
      <x:c r="D176" s="20"/>
      <x:c r="E176" s="20"/>
      <x:c r="F176" s="20"/>
      <x:c r="G176" s="20"/>
      <x:c r="H176" s="20"/>
      <x:c r="I176" s="20"/>
      <x:c r="J176" s="20"/>
      <x:c r="K176" s="20"/>
      <x:c r="L176" s="20"/>
      <x:c r="M176" s="20"/>
      <x:c r="N176" s="20"/>
      <x:c r="O176" s="20"/>
      <x:c r="P176" s="20"/>
      <x:c r="Q176" s="23"/>
      <x:c r="R176" s="20"/>
      <x:c r="S176" s="20"/>
      <x:c r="T176" s="20"/>
      <x:c r="U176" s="23"/>
      <x:c r="V176" s="20" t="str">
        <x:f>IF(A176="","",IF(AND(P176&lt;&gt;"Closed",Q176&lt;TODAY()),"YES","NO"))</x:f>
      </x:c>
    </x:row>
    <x:row r="177">
      <x:c r="A177" s="20"/>
      <x:c r="B177" s="20"/>
      <x:c r="C177" s="20"/>
      <x:c r="D177" s="20"/>
      <x:c r="E177" s="20"/>
      <x:c r="F177" s="20"/>
      <x:c r="G177" s="20"/>
      <x:c r="H177" s="20"/>
      <x:c r="I177" s="20"/>
      <x:c r="J177" s="20"/>
      <x:c r="K177" s="20"/>
      <x:c r="L177" s="20"/>
      <x:c r="M177" s="20"/>
      <x:c r="N177" s="20"/>
      <x:c r="O177" s="20"/>
      <x:c r="P177" s="20"/>
      <x:c r="Q177" s="23"/>
      <x:c r="R177" s="20"/>
      <x:c r="S177" s="20"/>
      <x:c r="T177" s="20"/>
      <x:c r="U177" s="23"/>
      <x:c r="V177" s="20" t="str">
        <x:f>IF(A177="","",IF(AND(P177&lt;&gt;"Closed",Q177&lt;TODAY()),"YES","NO"))</x:f>
      </x:c>
    </x:row>
    <x:row r="178">
      <x:c r="A178" s="20"/>
      <x:c r="B178" s="20"/>
      <x:c r="C178" s="20"/>
      <x:c r="D178" s="20"/>
      <x:c r="E178" s="20"/>
      <x:c r="F178" s="20"/>
      <x:c r="G178" s="20"/>
      <x:c r="H178" s="20"/>
      <x:c r="I178" s="20"/>
      <x:c r="J178" s="20"/>
      <x:c r="K178" s="20"/>
      <x:c r="L178" s="20"/>
      <x:c r="M178" s="20"/>
      <x:c r="N178" s="20"/>
      <x:c r="O178" s="20"/>
      <x:c r="P178" s="20"/>
      <x:c r="Q178" s="23"/>
      <x:c r="R178" s="20"/>
      <x:c r="S178" s="20"/>
      <x:c r="T178" s="20"/>
      <x:c r="U178" s="23"/>
      <x:c r="V178" s="20" t="str">
        <x:f>IF(A178="","",IF(AND(P178&lt;&gt;"Closed",Q178&lt;TODAY()),"YES","NO"))</x:f>
      </x:c>
    </x:row>
    <x:row r="179">
      <x:c r="A179" s="20"/>
      <x:c r="B179" s="20"/>
      <x:c r="C179" s="20"/>
      <x:c r="D179" s="20"/>
      <x:c r="E179" s="20"/>
      <x:c r="F179" s="20"/>
      <x:c r="G179" s="20"/>
      <x:c r="H179" s="20"/>
      <x:c r="I179" s="20"/>
      <x:c r="J179" s="20"/>
      <x:c r="K179" s="20"/>
      <x:c r="L179" s="20"/>
      <x:c r="M179" s="20"/>
      <x:c r="N179" s="20"/>
      <x:c r="O179" s="20"/>
      <x:c r="P179" s="20"/>
      <x:c r="Q179" s="23"/>
      <x:c r="R179" s="20"/>
      <x:c r="S179" s="20"/>
      <x:c r="T179" s="20"/>
      <x:c r="U179" s="23"/>
      <x:c r="V179" s="20" t="str">
        <x:f>IF(A179="","",IF(AND(P179&lt;&gt;"Closed",Q179&lt;TODAY()),"YES","NO"))</x:f>
      </x:c>
    </x:row>
    <x:row r="180">
      <x:c r="A180" s="20"/>
      <x:c r="B180" s="20"/>
      <x:c r="C180" s="20"/>
      <x:c r="D180" s="20"/>
      <x:c r="E180" s="20"/>
      <x:c r="F180" s="20"/>
      <x:c r="G180" s="20"/>
      <x:c r="H180" s="20"/>
      <x:c r="I180" s="20"/>
      <x:c r="J180" s="20"/>
      <x:c r="K180" s="20"/>
      <x:c r="L180" s="20"/>
      <x:c r="M180" s="20"/>
      <x:c r="N180" s="20"/>
      <x:c r="O180" s="20"/>
      <x:c r="P180" s="20"/>
      <x:c r="Q180" s="23"/>
      <x:c r="R180" s="20"/>
      <x:c r="S180" s="20"/>
      <x:c r="T180" s="20"/>
      <x:c r="U180" s="23"/>
      <x:c r="V180" s="20" t="str">
        <x:f>IF(A180="","",IF(AND(P180&lt;&gt;"Closed",Q180&lt;TODAY()),"YES","NO"))</x:f>
      </x:c>
    </x:row>
    <x:row r="181">
      <x:c r="A181" s="20"/>
      <x:c r="B181" s="20"/>
      <x:c r="C181" s="20"/>
      <x:c r="D181" s="20"/>
      <x:c r="E181" s="20"/>
      <x:c r="F181" s="20"/>
      <x:c r="G181" s="20"/>
      <x:c r="H181" s="20"/>
      <x:c r="I181" s="20"/>
      <x:c r="J181" s="20"/>
      <x:c r="K181" s="20"/>
      <x:c r="L181" s="20"/>
      <x:c r="M181" s="20"/>
      <x:c r="N181" s="20"/>
      <x:c r="O181" s="20"/>
      <x:c r="P181" s="20"/>
      <x:c r="Q181" s="23"/>
      <x:c r="R181" s="20"/>
      <x:c r="S181" s="20"/>
      <x:c r="T181" s="20"/>
      <x:c r="U181" s="23"/>
      <x:c r="V181" s="20" t="str">
        <x:f>IF(A181="","",IF(AND(P181&lt;&gt;"Closed",Q181&lt;TODAY()),"YES","NO"))</x:f>
      </x:c>
    </x:row>
    <x:row r="182">
      <x:c r="A182" s="20"/>
      <x:c r="B182" s="20"/>
      <x:c r="C182" s="20"/>
      <x:c r="D182" s="20"/>
      <x:c r="E182" s="20"/>
      <x:c r="F182" s="20"/>
      <x:c r="G182" s="20"/>
      <x:c r="H182" s="20"/>
      <x:c r="I182" s="20"/>
      <x:c r="J182" s="20"/>
      <x:c r="K182" s="20"/>
      <x:c r="L182" s="20"/>
      <x:c r="M182" s="20"/>
      <x:c r="N182" s="20"/>
      <x:c r="O182" s="20"/>
      <x:c r="P182" s="20"/>
      <x:c r="Q182" s="23"/>
      <x:c r="R182" s="20"/>
      <x:c r="S182" s="20"/>
      <x:c r="T182" s="20"/>
      <x:c r="U182" s="23"/>
      <x:c r="V182" s="20" t="str">
        <x:f>IF(A182="","",IF(AND(P182&lt;&gt;"Closed",Q182&lt;TODAY()),"YES","NO"))</x:f>
      </x:c>
    </x:row>
    <x:row r="183">
      <x:c r="A183" s="20"/>
      <x:c r="B183" s="20"/>
      <x:c r="C183" s="20"/>
      <x:c r="D183" s="20"/>
      <x:c r="E183" s="20"/>
      <x:c r="F183" s="20"/>
      <x:c r="G183" s="20"/>
      <x:c r="H183" s="20"/>
      <x:c r="I183" s="20"/>
      <x:c r="J183" s="20"/>
      <x:c r="K183" s="20"/>
      <x:c r="L183" s="20"/>
      <x:c r="M183" s="20"/>
      <x:c r="N183" s="20"/>
      <x:c r="O183" s="20"/>
      <x:c r="P183" s="20"/>
      <x:c r="Q183" s="23"/>
      <x:c r="R183" s="20"/>
      <x:c r="S183" s="20"/>
      <x:c r="T183" s="20"/>
      <x:c r="U183" s="23"/>
      <x:c r="V183" s="20" t="str">
        <x:f>IF(A183="","",IF(AND(P183&lt;&gt;"Closed",Q183&lt;TODAY()),"YES","NO"))</x:f>
      </x:c>
    </x:row>
    <x:row r="184">
      <x:c r="A184" s="20"/>
      <x:c r="B184" s="20"/>
      <x:c r="C184" s="20"/>
      <x:c r="D184" s="20"/>
      <x:c r="E184" s="20"/>
      <x:c r="F184" s="20"/>
      <x:c r="G184" s="20"/>
      <x:c r="H184" s="20"/>
      <x:c r="I184" s="20"/>
      <x:c r="J184" s="20"/>
      <x:c r="K184" s="20"/>
      <x:c r="L184" s="20"/>
      <x:c r="M184" s="20"/>
      <x:c r="N184" s="20"/>
      <x:c r="O184" s="20"/>
      <x:c r="P184" s="20"/>
      <x:c r="Q184" s="23"/>
      <x:c r="R184" s="20"/>
      <x:c r="S184" s="20"/>
      <x:c r="T184" s="20"/>
      <x:c r="U184" s="23"/>
      <x:c r="V184" s="20" t="str">
        <x:f>IF(A184="","",IF(AND(P184&lt;&gt;"Closed",Q184&lt;TODAY()),"YES","NO"))</x:f>
      </x:c>
    </x:row>
    <x:row r="185">
      <x:c r="A185" s="20"/>
      <x:c r="B185" s="20"/>
      <x:c r="C185" s="20"/>
      <x:c r="D185" s="20"/>
      <x:c r="E185" s="20"/>
      <x:c r="F185" s="20"/>
      <x:c r="G185" s="20"/>
      <x:c r="H185" s="20"/>
      <x:c r="I185" s="20"/>
      <x:c r="J185" s="20"/>
      <x:c r="K185" s="20"/>
      <x:c r="L185" s="20"/>
      <x:c r="M185" s="20"/>
      <x:c r="N185" s="20"/>
      <x:c r="O185" s="20"/>
      <x:c r="P185" s="20"/>
      <x:c r="Q185" s="23"/>
      <x:c r="R185" s="20"/>
      <x:c r="S185" s="20"/>
      <x:c r="T185" s="20"/>
      <x:c r="U185" s="23"/>
      <x:c r="V185" s="20" t="str">
        <x:f>IF(A185="","",IF(AND(P185&lt;&gt;"Closed",Q185&lt;TODAY()),"YES","NO"))</x:f>
      </x:c>
    </x:row>
    <x:row r="186">
      <x:c r="A186" s="20"/>
      <x:c r="B186" s="20"/>
      <x:c r="C186" s="20"/>
      <x:c r="D186" s="20"/>
      <x:c r="E186" s="20"/>
      <x:c r="F186" s="20"/>
      <x:c r="G186" s="20"/>
      <x:c r="H186" s="20"/>
      <x:c r="I186" s="20"/>
      <x:c r="J186" s="20"/>
      <x:c r="K186" s="20"/>
      <x:c r="L186" s="20"/>
      <x:c r="M186" s="20"/>
      <x:c r="N186" s="20"/>
      <x:c r="O186" s="20"/>
      <x:c r="P186" s="20"/>
      <x:c r="Q186" s="23"/>
      <x:c r="R186" s="20"/>
      <x:c r="S186" s="20"/>
      <x:c r="T186" s="20"/>
      <x:c r="U186" s="23"/>
      <x:c r="V186" s="20" t="str">
        <x:f>IF(A186="","",IF(AND(P186&lt;&gt;"Closed",Q186&lt;TODAY()),"YES","NO"))</x:f>
      </x:c>
    </x:row>
    <x:row r="187">
      <x:c r="A187" s="20"/>
      <x:c r="B187" s="20"/>
      <x:c r="C187" s="20"/>
      <x:c r="D187" s="20"/>
      <x:c r="E187" s="20"/>
      <x:c r="F187" s="20"/>
      <x:c r="G187" s="20"/>
      <x:c r="H187" s="20"/>
      <x:c r="I187" s="20"/>
      <x:c r="J187" s="20"/>
      <x:c r="K187" s="20"/>
      <x:c r="L187" s="20"/>
      <x:c r="M187" s="20"/>
      <x:c r="N187" s="20"/>
      <x:c r="O187" s="20"/>
      <x:c r="P187" s="20"/>
      <x:c r="Q187" s="23"/>
      <x:c r="R187" s="20"/>
      <x:c r="S187" s="20"/>
      <x:c r="T187" s="20"/>
      <x:c r="U187" s="23"/>
      <x:c r="V187" s="20" t="str">
        <x:f>IF(A187="","",IF(AND(P187&lt;&gt;"Closed",Q187&lt;TODAY()),"YES","NO"))</x:f>
      </x:c>
    </x:row>
    <x:row r="188">
      <x:c r="A188" s="20"/>
      <x:c r="B188" s="20"/>
      <x:c r="C188" s="20"/>
      <x:c r="D188" s="20"/>
      <x:c r="E188" s="20"/>
      <x:c r="F188" s="20"/>
      <x:c r="G188" s="20"/>
      <x:c r="H188" s="20"/>
      <x:c r="I188" s="20"/>
      <x:c r="J188" s="20"/>
      <x:c r="K188" s="20"/>
      <x:c r="L188" s="20"/>
      <x:c r="M188" s="20"/>
      <x:c r="N188" s="20"/>
      <x:c r="O188" s="20"/>
      <x:c r="P188" s="20"/>
      <x:c r="Q188" s="23"/>
      <x:c r="R188" s="20"/>
      <x:c r="S188" s="20"/>
      <x:c r="T188" s="20"/>
      <x:c r="U188" s="23"/>
      <x:c r="V188" s="20" t="str">
        <x:f>IF(A188="","",IF(AND(P188&lt;&gt;"Closed",Q188&lt;TODAY()),"YES","NO"))</x:f>
      </x:c>
    </x:row>
    <x:row r="189">
      <x:c r="A189" s="20"/>
      <x:c r="B189" s="20"/>
      <x:c r="C189" s="20"/>
      <x:c r="D189" s="20"/>
      <x:c r="E189" s="20"/>
      <x:c r="F189" s="20"/>
      <x:c r="G189" s="20"/>
      <x:c r="H189" s="20"/>
      <x:c r="I189" s="20"/>
      <x:c r="J189" s="20"/>
      <x:c r="K189" s="20"/>
      <x:c r="L189" s="20"/>
      <x:c r="M189" s="20"/>
      <x:c r="N189" s="20"/>
      <x:c r="O189" s="20"/>
      <x:c r="P189" s="20"/>
      <x:c r="Q189" s="23"/>
      <x:c r="R189" s="20"/>
      <x:c r="S189" s="20"/>
      <x:c r="T189" s="20"/>
      <x:c r="U189" s="23"/>
      <x:c r="V189" s="20" t="str">
        <x:f>IF(A189="","",IF(AND(P189&lt;&gt;"Closed",Q189&lt;TODAY()),"YES","NO"))</x:f>
      </x:c>
    </x:row>
    <x:row r="190">
      <x:c r="A190" s="20"/>
      <x:c r="B190" s="20"/>
      <x:c r="C190" s="20"/>
      <x:c r="D190" s="20"/>
      <x:c r="E190" s="20"/>
      <x:c r="F190" s="20"/>
      <x:c r="G190" s="20"/>
      <x:c r="H190" s="20"/>
      <x:c r="I190" s="20"/>
      <x:c r="J190" s="20"/>
      <x:c r="K190" s="20"/>
      <x:c r="L190" s="20"/>
      <x:c r="M190" s="20"/>
      <x:c r="N190" s="20"/>
      <x:c r="O190" s="20"/>
      <x:c r="P190" s="20"/>
      <x:c r="Q190" s="23"/>
      <x:c r="R190" s="20"/>
      <x:c r="S190" s="20"/>
      <x:c r="T190" s="20"/>
      <x:c r="U190" s="23"/>
      <x:c r="V190" s="20" t="str">
        <x:f>IF(A190="","",IF(AND(P190&lt;&gt;"Closed",Q190&lt;TODAY()),"YES","NO"))</x:f>
      </x:c>
    </x:row>
    <x:row r="191">
      <x:c r="A191" s="20"/>
      <x:c r="B191" s="20"/>
      <x:c r="C191" s="20"/>
      <x:c r="D191" s="20"/>
      <x:c r="E191" s="20"/>
      <x:c r="F191" s="20"/>
      <x:c r="G191" s="20"/>
      <x:c r="H191" s="20"/>
      <x:c r="I191" s="20"/>
      <x:c r="J191" s="20"/>
      <x:c r="K191" s="20"/>
      <x:c r="L191" s="20"/>
      <x:c r="M191" s="20"/>
      <x:c r="N191" s="20"/>
      <x:c r="O191" s="20"/>
      <x:c r="P191" s="20"/>
      <x:c r="Q191" s="23"/>
      <x:c r="R191" s="20"/>
      <x:c r="S191" s="20"/>
      <x:c r="T191" s="20"/>
      <x:c r="U191" s="23"/>
      <x:c r="V191" s="20" t="str">
        <x:f>IF(A191="","",IF(AND(P191&lt;&gt;"Closed",Q191&lt;TODAY()),"YES","NO"))</x:f>
      </x:c>
    </x:row>
    <x:row r="192">
      <x:c r="A192" s="20"/>
      <x:c r="B192" s="20"/>
      <x:c r="C192" s="20"/>
      <x:c r="D192" s="20"/>
      <x:c r="E192" s="20"/>
      <x:c r="F192" s="20"/>
      <x:c r="G192" s="20"/>
      <x:c r="H192" s="20"/>
      <x:c r="I192" s="20"/>
      <x:c r="J192" s="20"/>
      <x:c r="K192" s="20"/>
      <x:c r="L192" s="20"/>
      <x:c r="M192" s="20"/>
      <x:c r="N192" s="20"/>
      <x:c r="O192" s="20"/>
      <x:c r="P192" s="20"/>
      <x:c r="Q192" s="23"/>
      <x:c r="R192" s="20"/>
      <x:c r="S192" s="20"/>
      <x:c r="T192" s="20"/>
      <x:c r="U192" s="23"/>
      <x:c r="V192" s="20" t="str">
        <x:f>IF(A192="","",IF(AND(P192&lt;&gt;"Closed",Q192&lt;TODAY()),"YES","NO"))</x:f>
      </x:c>
    </x:row>
    <x:row r="193">
      <x:c r="A193" s="20"/>
      <x:c r="B193" s="20"/>
      <x:c r="C193" s="20"/>
      <x:c r="D193" s="20"/>
      <x:c r="E193" s="20"/>
      <x:c r="F193" s="20"/>
      <x:c r="G193" s="20"/>
      <x:c r="H193" s="20"/>
      <x:c r="I193" s="20"/>
      <x:c r="J193" s="20"/>
      <x:c r="K193" s="20"/>
      <x:c r="L193" s="20"/>
      <x:c r="M193" s="20"/>
      <x:c r="N193" s="20"/>
      <x:c r="O193" s="20"/>
      <x:c r="P193" s="20"/>
      <x:c r="Q193" s="23"/>
      <x:c r="R193" s="20"/>
      <x:c r="S193" s="20"/>
      <x:c r="T193" s="20"/>
      <x:c r="U193" s="23"/>
      <x:c r="V193" s="20" t="str">
        <x:f>IF(A193="","",IF(AND(P193&lt;&gt;"Closed",Q193&lt;TODAY()),"YES","NO"))</x:f>
      </x:c>
    </x:row>
    <x:row r="194">
      <x:c r="A194" s="20"/>
      <x:c r="B194" s="20"/>
      <x:c r="C194" s="20"/>
      <x:c r="D194" s="20"/>
      <x:c r="E194" s="20"/>
      <x:c r="F194" s="20"/>
      <x:c r="G194" s="20"/>
      <x:c r="H194" s="20"/>
      <x:c r="I194" s="20"/>
      <x:c r="J194" s="20"/>
      <x:c r="K194" s="20"/>
      <x:c r="L194" s="20"/>
      <x:c r="M194" s="20"/>
      <x:c r="N194" s="20"/>
      <x:c r="O194" s="20"/>
      <x:c r="P194" s="20"/>
      <x:c r="Q194" s="23"/>
      <x:c r="R194" s="20"/>
      <x:c r="S194" s="20"/>
      <x:c r="T194" s="20"/>
      <x:c r="U194" s="23"/>
      <x:c r="V194" s="20" t="str">
        <x:f>IF(A194="","",IF(AND(P194&lt;&gt;"Closed",Q194&lt;TODAY()),"YES","NO"))</x:f>
      </x:c>
    </x:row>
    <x:row r="195">
      <x:c r="A195" s="20"/>
      <x:c r="B195" s="20"/>
      <x:c r="C195" s="20"/>
      <x:c r="D195" s="20"/>
      <x:c r="E195" s="20"/>
      <x:c r="F195" s="20"/>
      <x:c r="G195" s="20"/>
      <x:c r="H195" s="20"/>
      <x:c r="I195" s="20"/>
      <x:c r="J195" s="20"/>
      <x:c r="K195" s="20"/>
      <x:c r="L195" s="20"/>
      <x:c r="M195" s="20"/>
      <x:c r="N195" s="20"/>
      <x:c r="O195" s="20"/>
      <x:c r="P195" s="20"/>
      <x:c r="Q195" s="23"/>
      <x:c r="R195" s="20"/>
      <x:c r="S195" s="20"/>
      <x:c r="T195" s="20"/>
      <x:c r="U195" s="23"/>
      <x:c r="V195" s="20" t="str">
        <x:f>IF(A195="","",IF(AND(P195&lt;&gt;"Closed",Q195&lt;TODAY()),"YES","NO"))</x:f>
      </x:c>
    </x:row>
    <x:row r="196">
      <x:c r="A196" s="20"/>
      <x:c r="B196" s="20"/>
      <x:c r="C196" s="20"/>
      <x:c r="D196" s="20"/>
      <x:c r="E196" s="20"/>
      <x:c r="F196" s="20"/>
      <x:c r="G196" s="20"/>
      <x:c r="H196" s="20"/>
      <x:c r="I196" s="20"/>
      <x:c r="J196" s="20"/>
      <x:c r="K196" s="20"/>
      <x:c r="L196" s="20"/>
      <x:c r="M196" s="20"/>
      <x:c r="N196" s="20"/>
      <x:c r="O196" s="20"/>
      <x:c r="P196" s="20"/>
      <x:c r="Q196" s="23"/>
      <x:c r="R196" s="20"/>
      <x:c r="S196" s="20"/>
      <x:c r="T196" s="20"/>
      <x:c r="U196" s="23"/>
      <x:c r="V196" s="20" t="str">
        <x:f>IF(A196="","",IF(AND(P196&lt;&gt;"Closed",Q196&lt;TODAY()),"YES","NO"))</x:f>
      </x:c>
    </x:row>
    <x:row r="197">
      <x:c r="A197" s="20"/>
      <x:c r="B197" s="20"/>
      <x:c r="C197" s="20"/>
      <x:c r="D197" s="20"/>
      <x:c r="E197" s="20"/>
      <x:c r="F197" s="20"/>
      <x:c r="G197" s="20"/>
      <x:c r="H197" s="20"/>
      <x:c r="I197" s="20"/>
      <x:c r="J197" s="20"/>
      <x:c r="K197" s="20"/>
      <x:c r="L197" s="20"/>
      <x:c r="M197" s="20"/>
      <x:c r="N197" s="20"/>
      <x:c r="O197" s="20"/>
      <x:c r="P197" s="20"/>
      <x:c r="Q197" s="23"/>
      <x:c r="R197" s="20"/>
      <x:c r="S197" s="20"/>
      <x:c r="T197" s="20"/>
      <x:c r="U197" s="23"/>
      <x:c r="V197" s="20" t="str">
        <x:f>IF(A197="","",IF(AND(P197&lt;&gt;"Closed",Q197&lt;TODAY()),"YES","NO"))</x:f>
      </x:c>
    </x:row>
    <x:row r="198">
      <x:c r="A198" s="20"/>
      <x:c r="B198" s="20"/>
      <x:c r="C198" s="20"/>
      <x:c r="D198" s="20"/>
      <x:c r="E198" s="20"/>
      <x:c r="F198" s="20"/>
      <x:c r="G198" s="20"/>
      <x:c r="H198" s="20"/>
      <x:c r="I198" s="20"/>
      <x:c r="J198" s="20"/>
      <x:c r="K198" s="20"/>
      <x:c r="L198" s="20"/>
      <x:c r="M198" s="20"/>
      <x:c r="N198" s="20"/>
      <x:c r="O198" s="20"/>
      <x:c r="P198" s="20"/>
      <x:c r="Q198" s="23"/>
      <x:c r="R198" s="20"/>
      <x:c r="S198" s="20"/>
      <x:c r="T198" s="20"/>
      <x:c r="U198" s="23"/>
      <x:c r="V198" s="20" t="str">
        <x:f>IF(A198="","",IF(AND(P198&lt;&gt;"Closed",Q198&lt;TODAY()),"YES","NO"))</x:f>
      </x:c>
    </x:row>
    <x:row r="199">
      <x:c r="A199" s="20"/>
      <x:c r="B199" s="20"/>
      <x:c r="C199" s="20"/>
      <x:c r="D199" s="20"/>
      <x:c r="E199" s="20"/>
      <x:c r="F199" s="20"/>
      <x:c r="G199" s="20"/>
      <x:c r="H199" s="20"/>
      <x:c r="I199" s="20"/>
      <x:c r="J199" s="20"/>
      <x:c r="K199" s="20"/>
      <x:c r="L199" s="20"/>
      <x:c r="M199" s="20"/>
      <x:c r="N199" s="20"/>
      <x:c r="O199" s="20"/>
      <x:c r="P199" s="20"/>
      <x:c r="Q199" s="23"/>
      <x:c r="R199" s="20"/>
      <x:c r="S199" s="20"/>
      <x:c r="T199" s="20"/>
      <x:c r="U199" s="23"/>
      <x:c r="V199" s="20" t="str">
        <x:f>IF(A199="","",IF(AND(P199&lt;&gt;"Closed",Q199&lt;TODAY()),"YES","NO"))</x:f>
      </x:c>
    </x:row>
    <x:row r="200">
      <x:c r="A200" s="20"/>
      <x:c r="B200" s="20"/>
      <x:c r="C200" s="20"/>
      <x:c r="D200" s="20"/>
      <x:c r="E200" s="20"/>
      <x:c r="F200" s="20"/>
      <x:c r="G200" s="20"/>
      <x:c r="H200" s="20"/>
      <x:c r="I200" s="20"/>
      <x:c r="J200" s="20"/>
      <x:c r="K200" s="20"/>
      <x:c r="L200" s="20"/>
      <x:c r="M200" s="20"/>
      <x:c r="N200" s="20"/>
      <x:c r="O200" s="20"/>
      <x:c r="P200" s="20"/>
      <x:c r="Q200" s="23"/>
      <x:c r="R200" s="20"/>
      <x:c r="S200" s="20"/>
      <x:c r="T200" s="20"/>
      <x:c r="U200" s="23"/>
      <x:c r="V200" s="20" t="str">
        <x:f>IF(A200="","",IF(AND(P200&lt;&gt;"Closed",Q200&lt;TODAY()),"YES","NO"))</x:f>
      </x:c>
    </x:row>
    <x:row r="201">
      <x:c r="A201" s="20"/>
      <x:c r="B201" s="20"/>
      <x:c r="C201" s="20"/>
      <x:c r="D201" s="20"/>
      <x:c r="E201" s="20"/>
      <x:c r="F201" s="20"/>
      <x:c r="G201" s="20"/>
      <x:c r="H201" s="20"/>
      <x:c r="I201" s="20"/>
      <x:c r="J201" s="20"/>
      <x:c r="K201" s="20"/>
      <x:c r="L201" s="20"/>
      <x:c r="M201" s="20"/>
      <x:c r="N201" s="20"/>
      <x:c r="O201" s="20"/>
      <x:c r="P201" s="20"/>
      <x:c r="Q201" s="23"/>
      <x:c r="R201" s="20"/>
      <x:c r="S201" s="20"/>
      <x:c r="T201" s="20"/>
      <x:c r="U201" s="23"/>
      <x:c r="V201" s="20" t="str">
        <x:f>IF(A201="","",IF(AND(P201&lt;&gt;"Closed",Q201&lt;TODAY()),"YES","NO"))</x:f>
      </x:c>
    </x:row>
    <x:row r="202">
      <x:c r="A202" s="20"/>
      <x:c r="B202" s="20"/>
      <x:c r="C202" s="20"/>
      <x:c r="D202" s="20"/>
      <x:c r="E202" s="20"/>
      <x:c r="F202" s="20"/>
      <x:c r="G202" s="20"/>
      <x:c r="H202" s="20"/>
      <x:c r="I202" s="20"/>
      <x:c r="J202" s="20"/>
      <x:c r="K202" s="20"/>
      <x:c r="L202" s="20"/>
      <x:c r="M202" s="20"/>
      <x:c r="N202" s="20"/>
      <x:c r="O202" s="20"/>
      <x:c r="P202" s="20"/>
      <x:c r="Q202" s="23"/>
      <x:c r="R202" s="20"/>
      <x:c r="S202" s="20"/>
      <x:c r="T202" s="20"/>
      <x:c r="U202" s="23"/>
      <x:c r="V202" s="20" t="str">
        <x:f>IF(A202="","",IF(AND(P202&lt;&gt;"Closed",Q202&lt;TODAY()),"YES","NO"))</x:f>
      </x:c>
    </x:row>
    <x:row r="203">
      <x:c r="A203" s="20"/>
      <x:c r="B203" s="20"/>
      <x:c r="C203" s="20"/>
      <x:c r="D203" s="20"/>
      <x:c r="E203" s="20"/>
      <x:c r="F203" s="20"/>
      <x:c r="G203" s="20"/>
      <x:c r="H203" s="20"/>
      <x:c r="I203" s="20"/>
      <x:c r="J203" s="20"/>
      <x:c r="K203" s="20"/>
      <x:c r="L203" s="20"/>
      <x:c r="M203" s="20"/>
      <x:c r="N203" s="20"/>
      <x:c r="O203" s="20"/>
      <x:c r="P203" s="20"/>
      <x:c r="Q203" s="23"/>
      <x:c r="R203" s="20"/>
      <x:c r="S203" s="20"/>
      <x:c r="T203" s="20"/>
      <x:c r="U203" s="23"/>
      <x:c r="V203" s="20" t="str">
        <x:f>IF(A203="","",IF(AND(P203&lt;&gt;"Closed",Q203&lt;TODAY()),"YES","NO"))</x:f>
      </x:c>
    </x:row>
    <x:row r="204">
      <x:c r="A204" s="21"/>
      <x:c r="B204" s="21"/>
      <x:c r="C204" s="21"/>
      <x:c r="D204" s="21"/>
      <x:c r="E204" s="21"/>
      <x:c r="F204" s="21"/>
      <x:c r="G204" s="21"/>
      <x:c r="H204" s="21"/>
      <x:c r="I204" s="21"/>
      <x:c r="J204" s="21"/>
      <x:c r="K204" s="21"/>
      <x:c r="L204" s="21"/>
      <x:c r="M204" s="21"/>
      <x:c r="N204" s="21"/>
      <x:c r="O204" s="21"/>
      <x:c r="P204" s="21"/>
      <x:c r="Q204" s="24"/>
      <x:c r="R204" s="21"/>
      <x:c r="S204" s="21"/>
      <x:c r="T204" s="21"/>
      <x:c r="U204" s="24"/>
      <x:c r="V204" s="21" t="str">
        <x:f>IF(A204="","",IF(AND(P204&lt;&gt;"Closed",Q204&lt;TODAY()),"YES","NO"))</x:f>
      </x:c>
    </x:row>
  </x:sheetData>
  <x:mergeCells>
    <x:mergeCell ref="A1:V1"/>
    <x:mergeCell ref="A2:V2"/>
  </x:mergeCells>
  <x:conditionalFormatting sqref="A5:V204">
    <x:cfRule type="expression" dxfId="15" priority="1">
      <x:formula>OR($P5="Open",$P5="Blocked",$P5="Failed",$P5="Rejected",$P5="Not Authorised")</x:formula>
    </x:cfRule>
    <x:cfRule type="expression" dxfId="16" priority="2">
      <x:formula>OR($P5="Approved",$P5="Passed",$P5="Closed",$P5="Authorised")</x:formula>
    </x:cfRule>
    <x:cfRule type="expression" dxfId="17" priority="3">
      <x:formula>OR($P5="Pending",$P5="In Progress",$P5="Investigating",$P5="Conditional")</x:formula>
    </x:cfRule>
  </x:conditionalFormatting>
  <x:dataValidations count="7">
    <x:dataValidation type="list" sqref="D5:D204">
      <x:formula1>"Platform,Client,Event,Release Candidate,Capability,Region"</x:formula1>
    </x:dataValidation>
    <x:dataValidation type="list" sqref="H5:H204">
      <x:formula1>"Almost Certain,Likely,Possible,Unlikely,Rare"</x:formula1>
    </x:dataValidation>
    <x:dataValidation type="list" sqref="I5:I204">
      <x:formula1>"Severe,Major,Moderate,Minor,Negligible"</x:formula1>
    </x:dataValidation>
    <x:dataValidation type="list" sqref="J5:J204">
      <x:formula1>"Critical,High,Medium,Low"</x:formula1>
    </x:dataValidation>
    <x:dataValidation type="list" sqref="L5:L204">
      <x:formula1>"Avoid,Reduce,Transfer,Accept"</x:formula1>
    </x:dataValidation>
    <x:dataValidation type="list" sqref="O5:O204">
      <x:formula1>"Critical,High,Medium,Low"</x:formula1>
    </x:dataValidation>
    <x:dataValidation type="list" sqref="P5:P204">
      <x:formula1>"Open,In Progress,Blocked,Pending,Closed,Cancelled"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e2b0dc9aade4d3a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22" hidden="0" customWidth="1"/>
    <x:col min="7" max="7" width="18" hidden="0" customWidth="1"/>
    <x:col min="8" max="8" width="12" hidden="0" customWidth="1"/>
    <x:col min="9" max="9" width="14" hidden="0" customWidth="1"/>
    <x:col min="10" max="10" width="18" hidden="0" customWidth="1"/>
    <x:col min="11" max="11" width="18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34" hidden="0" customWidth="1"/>
    <x:col min="17" max="17" width="22" hidden="0" customWidth="1"/>
    <x:col min="18" max="18" width="16" hidden="0" customWidth="1"/>
    <x:col min="19" max="19" width="14" hidden="0" customWidth="1"/>
    <x:col min="20" max="20" width="30" hidden="0" customWidth="1"/>
    <x:col min="21" max="21" width="14" hidden="0" customWidth="1"/>
    <x:col min="22" max="22" width="12" hidden="0" customWidth="1"/>
  </x:cols>
  <x:sheetData>
    <x:row r="1" ht="34" customHeight="1">
      <x:c r="A1" s="3" t="str">
        <x:v>APPROVALS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</x:row>
    <x:row r="2" ht="28" customHeight="1">
      <x:c r="A2" s="7" t="str">
        <x:v>Named, bounded approvals. Sensitive capabilities and production releases require explicit records.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  <x:c r="R2" s="7"/>
      <x:c r="S2" s="7"/>
      <x:c r="T2" s="7"/>
      <x:c r="U2" s="7"/>
      <x:c r="V2" s="7"/>
    </x:row>
    <x:row r="4" ht="32" customHeight="1">
      <x:c r="A4" s="12" t="str">
        <x:v>Approval ID*</x:v>
      </x:c>
      <x:c r="B4" s="12" t="str">
        <x:v>Candidate ID</x:v>
      </x:c>
      <x:c r="C4" s="12" t="str">
        <x:v>Event ID</x:v>
      </x:c>
      <x:c r="D4" s="12" t="str">
        <x:v>Scope Type*</x:v>
      </x:c>
      <x:c r="E4" s="12" t="str">
        <x:v>Scope ID</x:v>
      </x:c>
      <x:c r="F4" s="12" t="str">
        <x:v>Approval Type*</x:v>
      </x:c>
      <x:c r="G4" s="12" t="str">
        <x:v>Capability</x:v>
      </x:c>
      <x:c r="H4" s="12" t="str">
        <x:v>Required?*</x:v>
      </x:c>
      <x:c r="I4" s="12" t="str">
        <x:v>Status*</x:v>
      </x:c>
      <x:c r="J4" s="12" t="str">
        <x:v>Approver Role*</x:v>
      </x:c>
      <x:c r="K4" s="12" t="str">
        <x:v>Approver Name*</x:v>
      </x:c>
      <x:c r="L4" s="12" t="str">
        <x:v>Requested Date*</x:v>
      </x:c>
      <x:c r="M4" s="12" t="str">
        <x:v>Decision Date</x:v>
      </x:c>
      <x:c r="N4" s="12" t="str">
        <x:v>Effective From</x:v>
      </x:c>
      <x:c r="O4" s="12" t="str">
        <x:v>Expiry Date</x:v>
      </x:c>
      <x:c r="P4" s="12" t="str">
        <x:v>Conditions</x:v>
      </x:c>
      <x:c r="Q4" s="12" t="str">
        <x:v>Evidence IDs*</x:v>
      </x:c>
      <x:c r="R4" s="12" t="str">
        <x:v>Related Decision ID</x:v>
      </x:c>
      <x:c r="S4" s="12" t="str">
        <x:v>Revoked Date</x:v>
      </x:c>
      <x:c r="T4" s="12" t="str">
        <x:v>Revocation Reason</x:v>
      </x:c>
      <x:c r="U4" s="12" t="str">
        <x:v>Last Updated*</x:v>
      </x:c>
      <x:c r="V4" s="12" t="str">
        <x:v>Expired?</x:v>
      </x:c>
    </x:row>
    <x:row r="5">
      <x:c r="A5" s="19"/>
      <x:c r="B5" s="19"/>
      <x:c r="C5" s="19"/>
      <x:c r="D5" s="19"/>
      <x:c r="E5" s="19"/>
      <x:c r="F5" s="19"/>
      <x:c r="G5" s="19"/>
      <x:c r="H5" s="19"/>
      <x:c r="I5" s="19"/>
      <x:c r="J5" s="19"/>
      <x:c r="K5" s="19"/>
      <x:c r="L5" s="22"/>
      <x:c r="M5" s="22"/>
      <x:c r="N5" s="22"/>
      <x:c r="O5" s="22"/>
      <x:c r="P5" s="19"/>
      <x:c r="Q5" s="19"/>
      <x:c r="R5" s="19"/>
      <x:c r="S5" s="22"/>
      <x:c r="T5" s="19"/>
      <x:c r="U5" s="22"/>
      <x:c r="V5" s="19" t="str">
        <x:f>IF(A5="","",IF(AND(I5="Approved",O5&lt;TODAY()),"YES","NO"))</x:f>
      </x:c>
    </x:row>
    <x:row r="6">
      <x:c r="A6" s="20"/>
      <x:c r="B6" s="20"/>
      <x:c r="C6" s="20"/>
      <x:c r="D6" s="20"/>
      <x:c r="E6" s="20"/>
      <x:c r="F6" s="20"/>
      <x:c r="G6" s="20"/>
      <x:c r="H6" s="20"/>
      <x:c r="I6" s="20"/>
      <x:c r="J6" s="20"/>
      <x:c r="K6" s="20"/>
      <x:c r="L6" s="23"/>
      <x:c r="M6" s="23"/>
      <x:c r="N6" s="23"/>
      <x:c r="O6" s="23"/>
      <x:c r="P6" s="20"/>
      <x:c r="Q6" s="20"/>
      <x:c r="R6" s="20"/>
      <x:c r="S6" s="23"/>
      <x:c r="T6" s="20"/>
      <x:c r="U6" s="23"/>
      <x:c r="V6" s="20" t="str">
        <x:f>IF(A6="","",IF(AND(I6="Approved",O6&lt;TODAY()),"YES","NO"))</x:f>
      </x:c>
    </x:row>
    <x:row r="7">
      <x:c r="A7" s="20"/>
      <x:c r="B7" s="20"/>
      <x:c r="C7" s="20"/>
      <x:c r="D7" s="20"/>
      <x:c r="E7" s="20"/>
      <x:c r="F7" s="20"/>
      <x:c r="G7" s="20"/>
      <x:c r="H7" s="20"/>
      <x:c r="I7" s="20"/>
      <x:c r="J7" s="20"/>
      <x:c r="K7" s="20"/>
      <x:c r="L7" s="23"/>
      <x:c r="M7" s="23"/>
      <x:c r="N7" s="23"/>
      <x:c r="O7" s="23"/>
      <x:c r="P7" s="20"/>
      <x:c r="Q7" s="20"/>
      <x:c r="R7" s="20"/>
      <x:c r="S7" s="23"/>
      <x:c r="T7" s="20"/>
      <x:c r="U7" s="23"/>
      <x:c r="V7" s="20" t="str">
        <x:f>IF(A7="","",IF(AND(I7="Approved",O7&lt;TODAY()),"YES","NO"))</x:f>
      </x:c>
    </x:row>
    <x:row r="8">
      <x:c r="A8" s="20"/>
      <x:c r="B8" s="20"/>
      <x:c r="C8" s="20"/>
      <x:c r="D8" s="20"/>
      <x:c r="E8" s="20"/>
      <x:c r="F8" s="20"/>
      <x:c r="G8" s="20"/>
      <x:c r="H8" s="20"/>
      <x:c r="I8" s="20"/>
      <x:c r="J8" s="20"/>
      <x:c r="K8" s="20"/>
      <x:c r="L8" s="23"/>
      <x:c r="M8" s="23"/>
      <x:c r="N8" s="23"/>
      <x:c r="O8" s="23"/>
      <x:c r="P8" s="20"/>
      <x:c r="Q8" s="20"/>
      <x:c r="R8" s="20"/>
      <x:c r="S8" s="23"/>
      <x:c r="T8" s="20"/>
      <x:c r="U8" s="23"/>
      <x:c r="V8" s="20" t="str">
        <x:f>IF(A8="","",IF(AND(I8="Approved",O8&lt;TODAY()),"YES","NO"))</x:f>
      </x:c>
    </x:row>
    <x:row r="9">
      <x:c r="A9" s="20"/>
      <x:c r="B9" s="20"/>
      <x:c r="C9" s="20"/>
      <x:c r="D9" s="20"/>
      <x:c r="E9" s="20"/>
      <x:c r="F9" s="20"/>
      <x:c r="G9" s="20"/>
      <x:c r="H9" s="20"/>
      <x:c r="I9" s="20"/>
      <x:c r="J9" s="20"/>
      <x:c r="K9" s="20"/>
      <x:c r="L9" s="23"/>
      <x:c r="M9" s="23"/>
      <x:c r="N9" s="23"/>
      <x:c r="O9" s="23"/>
      <x:c r="P9" s="20"/>
      <x:c r="Q9" s="20"/>
      <x:c r="R9" s="20"/>
      <x:c r="S9" s="23"/>
      <x:c r="T9" s="20"/>
      <x:c r="U9" s="23"/>
      <x:c r="V9" s="20" t="str">
        <x:f>IF(A9="","",IF(AND(I9="Approved",O9&lt;TODAY()),"YES","NO"))</x:f>
      </x:c>
    </x:row>
    <x:row r="10">
      <x:c r="A10" s="20"/>
      <x:c r="B10" s="20"/>
      <x:c r="C10" s="20"/>
      <x:c r="D10" s="20"/>
      <x:c r="E10" s="20"/>
      <x:c r="F10" s="20"/>
      <x:c r="G10" s="20"/>
      <x:c r="H10" s="20"/>
      <x:c r="I10" s="20"/>
      <x:c r="J10" s="20"/>
      <x:c r="K10" s="20"/>
      <x:c r="L10" s="23"/>
      <x:c r="M10" s="23"/>
      <x:c r="N10" s="23"/>
      <x:c r="O10" s="23"/>
      <x:c r="P10" s="20"/>
      <x:c r="Q10" s="20"/>
      <x:c r="R10" s="20"/>
      <x:c r="S10" s="23"/>
      <x:c r="T10" s="20"/>
      <x:c r="U10" s="23"/>
      <x:c r="V10" s="20" t="str">
        <x:f>IF(A10="","",IF(AND(I10="Approved",O10&lt;TODAY()),"YES","NO"))</x:f>
      </x:c>
    </x:row>
    <x:row r="11">
      <x:c r="A11" s="20"/>
      <x:c r="B11" s="20"/>
      <x:c r="C11" s="20"/>
      <x:c r="D11" s="20"/>
      <x:c r="E11" s="20"/>
      <x:c r="F11" s="20"/>
      <x:c r="G11" s="20"/>
      <x:c r="H11" s="20"/>
      <x:c r="I11" s="20"/>
      <x:c r="J11" s="20"/>
      <x:c r="K11" s="20"/>
      <x:c r="L11" s="23"/>
      <x:c r="M11" s="23"/>
      <x:c r="N11" s="23"/>
      <x:c r="O11" s="23"/>
      <x:c r="P11" s="20"/>
      <x:c r="Q11" s="20"/>
      <x:c r="R11" s="20"/>
      <x:c r="S11" s="23"/>
      <x:c r="T11" s="20"/>
      <x:c r="U11" s="23"/>
      <x:c r="V11" s="20" t="str">
        <x:f>IF(A11="","",IF(AND(I11="Approved",O11&lt;TODAY()),"YES","NO"))</x:f>
      </x:c>
    </x:row>
    <x:row r="12">
      <x:c r="A12" s="20"/>
      <x:c r="B12" s="20"/>
      <x:c r="C12" s="20"/>
      <x:c r="D12" s="20"/>
      <x:c r="E12" s="20"/>
      <x:c r="F12" s="20"/>
      <x:c r="G12" s="20"/>
      <x:c r="H12" s="20"/>
      <x:c r="I12" s="20"/>
      <x:c r="J12" s="20"/>
      <x:c r="K12" s="20"/>
      <x:c r="L12" s="23"/>
      <x:c r="M12" s="23"/>
      <x:c r="N12" s="23"/>
      <x:c r="O12" s="23"/>
      <x:c r="P12" s="20"/>
      <x:c r="Q12" s="20"/>
      <x:c r="R12" s="20"/>
      <x:c r="S12" s="23"/>
      <x:c r="T12" s="20"/>
      <x:c r="U12" s="23"/>
      <x:c r="V12" s="20" t="str">
        <x:f>IF(A12="","",IF(AND(I12="Approved",O12&lt;TODAY()),"YES","NO"))</x:f>
      </x:c>
    </x:row>
    <x:row r="13">
      <x:c r="A13" s="20"/>
      <x:c r="B13" s="20"/>
      <x:c r="C13" s="20"/>
      <x:c r="D13" s="20"/>
      <x:c r="E13" s="20"/>
      <x:c r="F13" s="20"/>
      <x:c r="G13" s="20"/>
      <x:c r="H13" s="20"/>
      <x:c r="I13" s="20"/>
      <x:c r="J13" s="20"/>
      <x:c r="K13" s="20"/>
      <x:c r="L13" s="23"/>
      <x:c r="M13" s="23"/>
      <x:c r="N13" s="23"/>
      <x:c r="O13" s="23"/>
      <x:c r="P13" s="20"/>
      <x:c r="Q13" s="20"/>
      <x:c r="R13" s="20"/>
      <x:c r="S13" s="23"/>
      <x:c r="T13" s="20"/>
      <x:c r="U13" s="23"/>
      <x:c r="V13" s="20" t="str">
        <x:f>IF(A13="","",IF(AND(I13="Approved",O13&lt;TODAY()),"YES","NO"))</x:f>
      </x:c>
    </x:row>
    <x:row r="14">
      <x:c r="A14" s="20"/>
      <x:c r="B14" s="20"/>
      <x:c r="C14" s="20"/>
      <x:c r="D14" s="20"/>
      <x:c r="E14" s="20"/>
      <x:c r="F14" s="20"/>
      <x:c r="G14" s="20"/>
      <x:c r="H14" s="20"/>
      <x:c r="I14" s="20"/>
      <x:c r="J14" s="20"/>
      <x:c r="K14" s="20"/>
      <x:c r="L14" s="23"/>
      <x:c r="M14" s="23"/>
      <x:c r="N14" s="23"/>
      <x:c r="O14" s="23"/>
      <x:c r="P14" s="20"/>
      <x:c r="Q14" s="20"/>
      <x:c r="R14" s="20"/>
      <x:c r="S14" s="23"/>
      <x:c r="T14" s="20"/>
      <x:c r="U14" s="23"/>
      <x:c r="V14" s="20" t="str">
        <x:f>IF(A14="","",IF(AND(I14="Approved",O14&lt;TODAY()),"YES","NO"))</x:f>
      </x:c>
    </x:row>
    <x:row r="15">
      <x:c r="A15" s="20"/>
      <x:c r="B15" s="20"/>
      <x:c r="C15" s="20"/>
      <x:c r="D15" s="20"/>
      <x:c r="E15" s="20"/>
      <x:c r="F15" s="20"/>
      <x:c r="G15" s="20"/>
      <x:c r="H15" s="20"/>
      <x:c r="I15" s="20"/>
      <x:c r="J15" s="20"/>
      <x:c r="K15" s="20"/>
      <x:c r="L15" s="23"/>
      <x:c r="M15" s="23"/>
      <x:c r="N15" s="23"/>
      <x:c r="O15" s="23"/>
      <x:c r="P15" s="20"/>
      <x:c r="Q15" s="20"/>
      <x:c r="R15" s="20"/>
      <x:c r="S15" s="23"/>
      <x:c r="T15" s="20"/>
      <x:c r="U15" s="23"/>
      <x:c r="V15" s="20" t="str">
        <x:f>IF(A15="","",IF(AND(I15="Approved",O15&lt;TODAY()),"YES","NO"))</x:f>
      </x:c>
    </x:row>
    <x:row r="16">
      <x:c r="A16" s="20"/>
      <x:c r="B16" s="20"/>
      <x:c r="C16" s="20"/>
      <x:c r="D16" s="20"/>
      <x:c r="E16" s="20"/>
      <x:c r="F16" s="20"/>
      <x:c r="G16" s="20"/>
      <x:c r="H16" s="20"/>
      <x:c r="I16" s="20"/>
      <x:c r="J16" s="20"/>
      <x:c r="K16" s="20"/>
      <x:c r="L16" s="23"/>
      <x:c r="M16" s="23"/>
      <x:c r="N16" s="23"/>
      <x:c r="O16" s="23"/>
      <x:c r="P16" s="20"/>
      <x:c r="Q16" s="20"/>
      <x:c r="R16" s="20"/>
      <x:c r="S16" s="23"/>
      <x:c r="T16" s="20"/>
      <x:c r="U16" s="23"/>
      <x:c r="V16" s="20" t="str">
        <x:f>IF(A16="","",IF(AND(I16="Approved",O16&lt;TODAY()),"YES","NO"))</x:f>
      </x:c>
    </x:row>
    <x:row r="17">
      <x:c r="A17" s="20"/>
      <x:c r="B17" s="20"/>
      <x:c r="C17" s="20"/>
      <x:c r="D17" s="20"/>
      <x:c r="E17" s="20"/>
      <x:c r="F17" s="20"/>
      <x:c r="G17" s="20"/>
      <x:c r="H17" s="20"/>
      <x:c r="I17" s="20"/>
      <x:c r="J17" s="20"/>
      <x:c r="K17" s="20"/>
      <x:c r="L17" s="23"/>
      <x:c r="M17" s="23"/>
      <x:c r="N17" s="23"/>
      <x:c r="O17" s="23"/>
      <x:c r="P17" s="20"/>
      <x:c r="Q17" s="20"/>
      <x:c r="R17" s="20"/>
      <x:c r="S17" s="23"/>
      <x:c r="T17" s="20"/>
      <x:c r="U17" s="23"/>
      <x:c r="V17" s="20" t="str">
        <x:f>IF(A17="","",IF(AND(I17="Approved",O17&lt;TODAY()),"YES","NO"))</x:f>
      </x:c>
    </x:row>
    <x:row r="18">
      <x:c r="A18" s="20"/>
      <x:c r="B18" s="20"/>
      <x:c r="C18" s="20"/>
      <x:c r="D18" s="20"/>
      <x:c r="E18" s="20"/>
      <x:c r="F18" s="20"/>
      <x:c r="G18" s="20"/>
      <x:c r="H18" s="20"/>
      <x:c r="I18" s="20"/>
      <x:c r="J18" s="20"/>
      <x:c r="K18" s="20"/>
      <x:c r="L18" s="23"/>
      <x:c r="M18" s="23"/>
      <x:c r="N18" s="23"/>
      <x:c r="O18" s="23"/>
      <x:c r="P18" s="20"/>
      <x:c r="Q18" s="20"/>
      <x:c r="R18" s="20"/>
      <x:c r="S18" s="23"/>
      <x:c r="T18" s="20"/>
      <x:c r="U18" s="23"/>
      <x:c r="V18" s="20" t="str">
        <x:f>IF(A18="","",IF(AND(I18="Approved",O18&lt;TODAY()),"YES","NO"))</x:f>
      </x:c>
    </x:row>
    <x:row r="19">
      <x:c r="A19" s="20"/>
      <x:c r="B19" s="20"/>
      <x:c r="C19" s="20"/>
      <x:c r="D19" s="20"/>
      <x:c r="E19" s="20"/>
      <x:c r="F19" s="20"/>
      <x:c r="G19" s="20"/>
      <x:c r="H19" s="20"/>
      <x:c r="I19" s="20"/>
      <x:c r="J19" s="20"/>
      <x:c r="K19" s="20"/>
      <x:c r="L19" s="23"/>
      <x:c r="M19" s="23"/>
      <x:c r="N19" s="23"/>
      <x:c r="O19" s="23"/>
      <x:c r="P19" s="20"/>
      <x:c r="Q19" s="20"/>
      <x:c r="R19" s="20"/>
      <x:c r="S19" s="23"/>
      <x:c r="T19" s="20"/>
      <x:c r="U19" s="23"/>
      <x:c r="V19" s="20" t="str">
        <x:f>IF(A19="","",IF(AND(I19="Approved",O19&lt;TODAY()),"YES","NO"))</x:f>
      </x:c>
    </x:row>
    <x:row r="20">
      <x:c r="A20" s="20"/>
      <x:c r="B20" s="20"/>
      <x:c r="C20" s="20"/>
      <x:c r="D20" s="20"/>
      <x:c r="E20" s="20"/>
      <x:c r="F20" s="20"/>
      <x:c r="G20" s="20"/>
      <x:c r="H20" s="20"/>
      <x:c r="I20" s="20"/>
      <x:c r="J20" s="20"/>
      <x:c r="K20" s="20"/>
      <x:c r="L20" s="23"/>
      <x:c r="M20" s="23"/>
      <x:c r="N20" s="23"/>
      <x:c r="O20" s="23"/>
      <x:c r="P20" s="20"/>
      <x:c r="Q20" s="20"/>
      <x:c r="R20" s="20"/>
      <x:c r="S20" s="23"/>
      <x:c r="T20" s="20"/>
      <x:c r="U20" s="23"/>
      <x:c r="V20" s="20" t="str">
        <x:f>IF(A20="","",IF(AND(I20="Approved",O20&lt;TODAY()),"YES","NO"))</x:f>
      </x:c>
    </x:row>
    <x:row r="21">
      <x:c r="A21" s="20"/>
      <x:c r="B21" s="20"/>
      <x:c r="C21" s="20"/>
      <x:c r="D21" s="20"/>
      <x:c r="E21" s="20"/>
      <x:c r="F21" s="20"/>
      <x:c r="G21" s="20"/>
      <x:c r="H21" s="20"/>
      <x:c r="I21" s="20"/>
      <x:c r="J21" s="20"/>
      <x:c r="K21" s="20"/>
      <x:c r="L21" s="23"/>
      <x:c r="M21" s="23"/>
      <x:c r="N21" s="23"/>
      <x:c r="O21" s="23"/>
      <x:c r="P21" s="20"/>
      <x:c r="Q21" s="20"/>
      <x:c r="R21" s="20"/>
      <x:c r="S21" s="23"/>
      <x:c r="T21" s="20"/>
      <x:c r="U21" s="23"/>
      <x:c r="V21" s="20" t="str">
        <x:f>IF(A21="","",IF(AND(I21="Approved",O21&lt;TODAY()),"YES","NO"))</x:f>
      </x:c>
    </x:row>
    <x:row r="22">
      <x:c r="A22" s="20"/>
      <x:c r="B22" s="20"/>
      <x:c r="C22" s="20"/>
      <x:c r="D22" s="20"/>
      <x:c r="E22" s="20"/>
      <x:c r="F22" s="20"/>
      <x:c r="G22" s="20"/>
      <x:c r="H22" s="20"/>
      <x:c r="I22" s="20"/>
      <x:c r="J22" s="20"/>
      <x:c r="K22" s="20"/>
      <x:c r="L22" s="23"/>
      <x:c r="M22" s="23"/>
      <x:c r="N22" s="23"/>
      <x:c r="O22" s="23"/>
      <x:c r="P22" s="20"/>
      <x:c r="Q22" s="20"/>
      <x:c r="R22" s="20"/>
      <x:c r="S22" s="23"/>
      <x:c r="T22" s="20"/>
      <x:c r="U22" s="23"/>
      <x:c r="V22" s="20" t="str">
        <x:f>IF(A22="","",IF(AND(I22="Approved",O22&lt;TODAY()),"YES","NO"))</x:f>
      </x:c>
    </x:row>
    <x:row r="23">
      <x:c r="A23" s="20"/>
      <x:c r="B23" s="20"/>
      <x:c r="C23" s="20"/>
      <x:c r="D23" s="20"/>
      <x:c r="E23" s="20"/>
      <x:c r="F23" s="20"/>
      <x:c r="G23" s="20"/>
      <x:c r="H23" s="20"/>
      <x:c r="I23" s="20"/>
      <x:c r="J23" s="20"/>
      <x:c r="K23" s="20"/>
      <x:c r="L23" s="23"/>
      <x:c r="M23" s="23"/>
      <x:c r="N23" s="23"/>
      <x:c r="O23" s="23"/>
      <x:c r="P23" s="20"/>
      <x:c r="Q23" s="20"/>
      <x:c r="R23" s="20"/>
      <x:c r="S23" s="23"/>
      <x:c r="T23" s="20"/>
      <x:c r="U23" s="23"/>
      <x:c r="V23" s="20" t="str">
        <x:f>IF(A23="","",IF(AND(I23="Approved",O23&lt;TODAY()),"YES","NO"))</x:f>
      </x:c>
    </x:row>
    <x:row r="24">
      <x:c r="A24" s="20"/>
      <x:c r="B24" s="20"/>
      <x:c r="C24" s="20"/>
      <x:c r="D24" s="20"/>
      <x:c r="E24" s="20"/>
      <x:c r="F24" s="20"/>
      <x:c r="G24" s="20"/>
      <x:c r="H24" s="20"/>
      <x:c r="I24" s="20"/>
      <x:c r="J24" s="20"/>
      <x:c r="K24" s="20"/>
      <x:c r="L24" s="23"/>
      <x:c r="M24" s="23"/>
      <x:c r="N24" s="23"/>
      <x:c r="O24" s="23"/>
      <x:c r="P24" s="20"/>
      <x:c r="Q24" s="20"/>
      <x:c r="R24" s="20"/>
      <x:c r="S24" s="23"/>
      <x:c r="T24" s="20"/>
      <x:c r="U24" s="23"/>
      <x:c r="V24" s="20" t="str">
        <x:f>IF(A24="","",IF(AND(I24="Approved",O24&lt;TODAY()),"YES","NO"))</x:f>
      </x:c>
    </x:row>
    <x:row r="25">
      <x:c r="A25" s="20"/>
      <x:c r="B25" s="20"/>
      <x:c r="C25" s="20"/>
      <x:c r="D25" s="20"/>
      <x:c r="E25" s="20"/>
      <x:c r="F25" s="20"/>
      <x:c r="G25" s="20"/>
      <x:c r="H25" s="20"/>
      <x:c r="I25" s="20"/>
      <x:c r="J25" s="20"/>
      <x:c r="K25" s="20"/>
      <x:c r="L25" s="23"/>
      <x:c r="M25" s="23"/>
      <x:c r="N25" s="23"/>
      <x:c r="O25" s="23"/>
      <x:c r="P25" s="20"/>
      <x:c r="Q25" s="20"/>
      <x:c r="R25" s="20"/>
      <x:c r="S25" s="23"/>
      <x:c r="T25" s="20"/>
      <x:c r="U25" s="23"/>
      <x:c r="V25" s="20" t="str">
        <x:f>IF(A25="","",IF(AND(I25="Approved",O25&lt;TODAY()),"YES","NO"))</x:f>
      </x:c>
    </x:row>
    <x:row r="26">
      <x:c r="A26" s="20"/>
      <x:c r="B26" s="20"/>
      <x:c r="C26" s="20"/>
      <x:c r="D26" s="20"/>
      <x:c r="E26" s="20"/>
      <x:c r="F26" s="20"/>
      <x:c r="G26" s="20"/>
      <x:c r="H26" s="20"/>
      <x:c r="I26" s="20"/>
      <x:c r="J26" s="20"/>
      <x:c r="K26" s="20"/>
      <x:c r="L26" s="23"/>
      <x:c r="M26" s="23"/>
      <x:c r="N26" s="23"/>
      <x:c r="O26" s="23"/>
      <x:c r="P26" s="20"/>
      <x:c r="Q26" s="20"/>
      <x:c r="R26" s="20"/>
      <x:c r="S26" s="23"/>
      <x:c r="T26" s="20"/>
      <x:c r="U26" s="23"/>
      <x:c r="V26" s="20" t="str">
        <x:f>IF(A26="","",IF(AND(I26="Approved",O26&lt;TODAY()),"YES","NO"))</x:f>
      </x:c>
    </x:row>
    <x:row r="27">
      <x:c r="A27" s="20"/>
      <x:c r="B27" s="20"/>
      <x:c r="C27" s="20"/>
      <x:c r="D27" s="20"/>
      <x:c r="E27" s="20"/>
      <x:c r="F27" s="20"/>
      <x:c r="G27" s="20"/>
      <x:c r="H27" s="20"/>
      <x:c r="I27" s="20"/>
      <x:c r="J27" s="20"/>
      <x:c r="K27" s="20"/>
      <x:c r="L27" s="23"/>
      <x:c r="M27" s="23"/>
      <x:c r="N27" s="23"/>
      <x:c r="O27" s="23"/>
      <x:c r="P27" s="20"/>
      <x:c r="Q27" s="20"/>
      <x:c r="R27" s="20"/>
      <x:c r="S27" s="23"/>
      <x:c r="T27" s="20"/>
      <x:c r="U27" s="23"/>
      <x:c r="V27" s="20" t="str">
        <x:f>IF(A27="","",IF(AND(I27="Approved",O27&lt;TODAY()),"YES","NO"))</x:f>
      </x:c>
    </x:row>
    <x:row r="28">
      <x:c r="A28" s="20"/>
      <x:c r="B28" s="20"/>
      <x:c r="C28" s="20"/>
      <x:c r="D28" s="20"/>
      <x:c r="E28" s="20"/>
      <x:c r="F28" s="20"/>
      <x:c r="G28" s="20"/>
      <x:c r="H28" s="20"/>
      <x:c r="I28" s="20"/>
      <x:c r="J28" s="20"/>
      <x:c r="K28" s="20"/>
      <x:c r="L28" s="23"/>
      <x:c r="M28" s="23"/>
      <x:c r="N28" s="23"/>
      <x:c r="O28" s="23"/>
      <x:c r="P28" s="20"/>
      <x:c r="Q28" s="20"/>
      <x:c r="R28" s="20"/>
      <x:c r="S28" s="23"/>
      <x:c r="T28" s="20"/>
      <x:c r="U28" s="23"/>
      <x:c r="V28" s="20" t="str">
        <x:f>IF(A28="","",IF(AND(I28="Approved",O28&lt;TODAY()),"YES","NO"))</x:f>
      </x:c>
    </x:row>
    <x:row r="29">
      <x:c r="A29" s="20"/>
      <x:c r="B29" s="20"/>
      <x:c r="C29" s="20"/>
      <x:c r="D29" s="20"/>
      <x:c r="E29" s="20"/>
      <x:c r="F29" s="20"/>
      <x:c r="G29" s="20"/>
      <x:c r="H29" s="20"/>
      <x:c r="I29" s="20"/>
      <x:c r="J29" s="20"/>
      <x:c r="K29" s="20"/>
      <x:c r="L29" s="23"/>
      <x:c r="M29" s="23"/>
      <x:c r="N29" s="23"/>
      <x:c r="O29" s="23"/>
      <x:c r="P29" s="20"/>
      <x:c r="Q29" s="20"/>
      <x:c r="R29" s="20"/>
      <x:c r="S29" s="23"/>
      <x:c r="T29" s="20"/>
      <x:c r="U29" s="23"/>
      <x:c r="V29" s="20" t="str">
        <x:f>IF(A29="","",IF(AND(I29="Approved",O29&lt;TODAY()),"YES","NO"))</x:f>
      </x:c>
    </x:row>
    <x:row r="30">
      <x:c r="A30" s="20"/>
      <x:c r="B30" s="20"/>
      <x:c r="C30" s="20"/>
      <x:c r="D30" s="20"/>
      <x:c r="E30" s="20"/>
      <x:c r="F30" s="20"/>
      <x:c r="G30" s="20"/>
      <x:c r="H30" s="20"/>
      <x:c r="I30" s="20"/>
      <x:c r="J30" s="20"/>
      <x:c r="K30" s="20"/>
      <x:c r="L30" s="23"/>
      <x:c r="M30" s="23"/>
      <x:c r="N30" s="23"/>
      <x:c r="O30" s="23"/>
      <x:c r="P30" s="20"/>
      <x:c r="Q30" s="20"/>
      <x:c r="R30" s="20"/>
      <x:c r="S30" s="23"/>
      <x:c r="T30" s="20"/>
      <x:c r="U30" s="23"/>
      <x:c r="V30" s="20" t="str">
        <x:f>IF(A30="","",IF(AND(I30="Approved",O30&lt;TODAY()),"YES","NO"))</x:f>
      </x:c>
    </x:row>
    <x:row r="31">
      <x:c r="A31" s="20"/>
      <x:c r="B31" s="20"/>
      <x:c r="C31" s="20"/>
      <x:c r="D31" s="20"/>
      <x:c r="E31" s="20"/>
      <x:c r="F31" s="20"/>
      <x:c r="G31" s="20"/>
      <x:c r="H31" s="20"/>
      <x:c r="I31" s="20"/>
      <x:c r="J31" s="20"/>
      <x:c r="K31" s="20"/>
      <x:c r="L31" s="23"/>
      <x:c r="M31" s="23"/>
      <x:c r="N31" s="23"/>
      <x:c r="O31" s="23"/>
      <x:c r="P31" s="20"/>
      <x:c r="Q31" s="20"/>
      <x:c r="R31" s="20"/>
      <x:c r="S31" s="23"/>
      <x:c r="T31" s="20"/>
      <x:c r="U31" s="23"/>
      <x:c r="V31" s="20" t="str">
        <x:f>IF(A31="","",IF(AND(I31="Approved",O31&lt;TODAY()),"YES","NO"))</x:f>
      </x:c>
    </x:row>
    <x:row r="32">
      <x:c r="A32" s="20"/>
      <x:c r="B32" s="20"/>
      <x:c r="C32" s="20"/>
      <x:c r="D32" s="20"/>
      <x:c r="E32" s="20"/>
      <x:c r="F32" s="20"/>
      <x:c r="G32" s="20"/>
      <x:c r="H32" s="20"/>
      <x:c r="I32" s="20"/>
      <x:c r="J32" s="20"/>
      <x:c r="K32" s="20"/>
      <x:c r="L32" s="23"/>
      <x:c r="M32" s="23"/>
      <x:c r="N32" s="23"/>
      <x:c r="O32" s="23"/>
      <x:c r="P32" s="20"/>
      <x:c r="Q32" s="20"/>
      <x:c r="R32" s="20"/>
      <x:c r="S32" s="23"/>
      <x:c r="T32" s="20"/>
      <x:c r="U32" s="23"/>
      <x:c r="V32" s="20" t="str">
        <x:f>IF(A32="","",IF(AND(I32="Approved",O32&lt;TODAY()),"YES","NO"))</x:f>
      </x:c>
    </x:row>
    <x:row r="33">
      <x:c r="A33" s="20"/>
      <x:c r="B33" s="20"/>
      <x:c r="C33" s="20"/>
      <x:c r="D33" s="20"/>
      <x:c r="E33" s="20"/>
      <x:c r="F33" s="20"/>
      <x:c r="G33" s="20"/>
      <x:c r="H33" s="20"/>
      <x:c r="I33" s="20"/>
      <x:c r="J33" s="20"/>
      <x:c r="K33" s="20"/>
      <x:c r="L33" s="23"/>
      <x:c r="M33" s="23"/>
      <x:c r="N33" s="23"/>
      <x:c r="O33" s="23"/>
      <x:c r="P33" s="20"/>
      <x:c r="Q33" s="20"/>
      <x:c r="R33" s="20"/>
      <x:c r="S33" s="23"/>
      <x:c r="T33" s="20"/>
      <x:c r="U33" s="23"/>
      <x:c r="V33" s="20" t="str">
        <x:f>IF(A33="","",IF(AND(I33="Approved",O33&lt;TODAY()),"YES","NO"))</x:f>
      </x:c>
    </x:row>
    <x:row r="34">
      <x:c r="A34" s="20"/>
      <x:c r="B34" s="20"/>
      <x:c r="C34" s="20"/>
      <x:c r="D34" s="20"/>
      <x:c r="E34" s="20"/>
      <x:c r="F34" s="20"/>
      <x:c r="G34" s="20"/>
      <x:c r="H34" s="20"/>
      <x:c r="I34" s="20"/>
      <x:c r="J34" s="20"/>
      <x:c r="K34" s="20"/>
      <x:c r="L34" s="23"/>
      <x:c r="M34" s="23"/>
      <x:c r="N34" s="23"/>
      <x:c r="O34" s="23"/>
      <x:c r="P34" s="20"/>
      <x:c r="Q34" s="20"/>
      <x:c r="R34" s="20"/>
      <x:c r="S34" s="23"/>
      <x:c r="T34" s="20"/>
      <x:c r="U34" s="23"/>
      <x:c r="V34" s="20" t="str">
        <x:f>IF(A34="","",IF(AND(I34="Approved",O34&lt;TODAY()),"YES","NO"))</x:f>
      </x:c>
    </x:row>
    <x:row r="35">
      <x:c r="A35" s="20"/>
      <x:c r="B35" s="20"/>
      <x:c r="C35" s="20"/>
      <x:c r="D35" s="20"/>
      <x:c r="E35" s="20"/>
      <x:c r="F35" s="20"/>
      <x:c r="G35" s="20"/>
      <x:c r="H35" s="20"/>
      <x:c r="I35" s="20"/>
      <x:c r="J35" s="20"/>
      <x:c r="K35" s="20"/>
      <x:c r="L35" s="23"/>
      <x:c r="M35" s="23"/>
      <x:c r="N35" s="23"/>
      <x:c r="O35" s="23"/>
      <x:c r="P35" s="20"/>
      <x:c r="Q35" s="20"/>
      <x:c r="R35" s="20"/>
      <x:c r="S35" s="23"/>
      <x:c r="T35" s="20"/>
      <x:c r="U35" s="23"/>
      <x:c r="V35" s="20" t="str">
        <x:f>IF(A35="","",IF(AND(I35="Approved",O35&lt;TODAY()),"YES","NO"))</x:f>
      </x:c>
    </x:row>
    <x:row r="36">
      <x:c r="A36" s="20"/>
      <x:c r="B36" s="20"/>
      <x:c r="C36" s="20"/>
      <x:c r="D36" s="20"/>
      <x:c r="E36" s="20"/>
      <x:c r="F36" s="20"/>
      <x:c r="G36" s="20"/>
      <x:c r="H36" s="20"/>
      <x:c r="I36" s="20"/>
      <x:c r="J36" s="20"/>
      <x:c r="K36" s="20"/>
      <x:c r="L36" s="23"/>
      <x:c r="M36" s="23"/>
      <x:c r="N36" s="23"/>
      <x:c r="O36" s="23"/>
      <x:c r="P36" s="20"/>
      <x:c r="Q36" s="20"/>
      <x:c r="R36" s="20"/>
      <x:c r="S36" s="23"/>
      <x:c r="T36" s="20"/>
      <x:c r="U36" s="23"/>
      <x:c r="V36" s="20" t="str">
        <x:f>IF(A36="","",IF(AND(I36="Approved",O36&lt;TODAY()),"YES","NO"))</x:f>
      </x:c>
    </x:row>
    <x:row r="37">
      <x:c r="A37" s="20"/>
      <x:c r="B37" s="20"/>
      <x:c r="C37" s="20"/>
      <x:c r="D37" s="20"/>
      <x:c r="E37" s="20"/>
      <x:c r="F37" s="20"/>
      <x:c r="G37" s="20"/>
      <x:c r="H37" s="20"/>
      <x:c r="I37" s="20"/>
      <x:c r="J37" s="20"/>
      <x:c r="K37" s="20"/>
      <x:c r="L37" s="23"/>
      <x:c r="M37" s="23"/>
      <x:c r="N37" s="23"/>
      <x:c r="O37" s="23"/>
      <x:c r="P37" s="20"/>
      <x:c r="Q37" s="20"/>
      <x:c r="R37" s="20"/>
      <x:c r="S37" s="23"/>
      <x:c r="T37" s="20"/>
      <x:c r="U37" s="23"/>
      <x:c r="V37" s="20" t="str">
        <x:f>IF(A37="","",IF(AND(I37="Approved",O37&lt;TODAY()),"YES","NO"))</x:f>
      </x:c>
    </x:row>
    <x:row r="38">
      <x:c r="A38" s="20"/>
      <x:c r="B38" s="20"/>
      <x:c r="C38" s="20"/>
      <x:c r="D38" s="20"/>
      <x:c r="E38" s="20"/>
      <x:c r="F38" s="20"/>
      <x:c r="G38" s="20"/>
      <x:c r="H38" s="20"/>
      <x:c r="I38" s="20"/>
      <x:c r="J38" s="20"/>
      <x:c r="K38" s="20"/>
      <x:c r="L38" s="23"/>
      <x:c r="M38" s="23"/>
      <x:c r="N38" s="23"/>
      <x:c r="O38" s="23"/>
      <x:c r="P38" s="20"/>
      <x:c r="Q38" s="20"/>
      <x:c r="R38" s="20"/>
      <x:c r="S38" s="23"/>
      <x:c r="T38" s="20"/>
      <x:c r="U38" s="23"/>
      <x:c r="V38" s="20" t="str">
        <x:f>IF(A38="","",IF(AND(I38="Approved",O38&lt;TODAY()),"YES","NO"))</x:f>
      </x:c>
    </x:row>
    <x:row r="39">
      <x:c r="A39" s="20"/>
      <x:c r="B39" s="20"/>
      <x:c r="C39" s="20"/>
      <x:c r="D39" s="20"/>
      <x:c r="E39" s="20"/>
      <x:c r="F39" s="20"/>
      <x:c r="G39" s="20"/>
      <x:c r="H39" s="20"/>
      <x:c r="I39" s="20"/>
      <x:c r="J39" s="20"/>
      <x:c r="K39" s="20"/>
      <x:c r="L39" s="23"/>
      <x:c r="M39" s="23"/>
      <x:c r="N39" s="23"/>
      <x:c r="O39" s="23"/>
      <x:c r="P39" s="20"/>
      <x:c r="Q39" s="20"/>
      <x:c r="R39" s="20"/>
      <x:c r="S39" s="23"/>
      <x:c r="T39" s="20"/>
      <x:c r="U39" s="23"/>
      <x:c r="V39" s="20" t="str">
        <x:f>IF(A39="","",IF(AND(I39="Approved",O39&lt;TODAY()),"YES","NO"))</x:f>
      </x:c>
    </x:row>
    <x:row r="40">
      <x:c r="A40" s="20"/>
      <x:c r="B40" s="20"/>
      <x:c r="C40" s="20"/>
      <x:c r="D40" s="20"/>
      <x:c r="E40" s="20"/>
      <x:c r="F40" s="20"/>
      <x:c r="G40" s="20"/>
      <x:c r="H40" s="20"/>
      <x:c r="I40" s="20"/>
      <x:c r="J40" s="20"/>
      <x:c r="K40" s="20"/>
      <x:c r="L40" s="23"/>
      <x:c r="M40" s="23"/>
      <x:c r="N40" s="23"/>
      <x:c r="O40" s="23"/>
      <x:c r="P40" s="20"/>
      <x:c r="Q40" s="20"/>
      <x:c r="R40" s="20"/>
      <x:c r="S40" s="23"/>
      <x:c r="T40" s="20"/>
      <x:c r="U40" s="23"/>
      <x:c r="V40" s="20" t="str">
        <x:f>IF(A40="","",IF(AND(I40="Approved",O40&lt;TODAY()),"YES","NO"))</x:f>
      </x:c>
    </x:row>
    <x:row r="41">
      <x:c r="A41" s="20"/>
      <x:c r="B41" s="20"/>
      <x:c r="C41" s="20"/>
      <x:c r="D41" s="20"/>
      <x:c r="E41" s="20"/>
      <x:c r="F41" s="20"/>
      <x:c r="G41" s="20"/>
      <x:c r="H41" s="20"/>
      <x:c r="I41" s="20"/>
      <x:c r="J41" s="20"/>
      <x:c r="K41" s="20"/>
      <x:c r="L41" s="23"/>
      <x:c r="M41" s="23"/>
      <x:c r="N41" s="23"/>
      <x:c r="O41" s="23"/>
      <x:c r="P41" s="20"/>
      <x:c r="Q41" s="20"/>
      <x:c r="R41" s="20"/>
      <x:c r="S41" s="23"/>
      <x:c r="T41" s="20"/>
      <x:c r="U41" s="23"/>
      <x:c r="V41" s="20" t="str">
        <x:f>IF(A41="","",IF(AND(I41="Approved",O41&lt;TODAY()),"YES","NO"))</x:f>
      </x:c>
    </x:row>
    <x:row r="42">
      <x:c r="A42" s="20"/>
      <x:c r="B42" s="20"/>
      <x:c r="C42" s="20"/>
      <x:c r="D42" s="20"/>
      <x:c r="E42" s="20"/>
      <x:c r="F42" s="20"/>
      <x:c r="G42" s="20"/>
      <x:c r="H42" s="20"/>
      <x:c r="I42" s="20"/>
      <x:c r="J42" s="20"/>
      <x:c r="K42" s="20"/>
      <x:c r="L42" s="23"/>
      <x:c r="M42" s="23"/>
      <x:c r="N42" s="23"/>
      <x:c r="O42" s="23"/>
      <x:c r="P42" s="20"/>
      <x:c r="Q42" s="20"/>
      <x:c r="R42" s="20"/>
      <x:c r="S42" s="23"/>
      <x:c r="T42" s="20"/>
      <x:c r="U42" s="23"/>
      <x:c r="V42" s="20" t="str">
        <x:f>IF(A42="","",IF(AND(I42="Approved",O42&lt;TODAY()),"YES","NO"))</x:f>
      </x:c>
    </x:row>
    <x:row r="43">
      <x:c r="A43" s="20"/>
      <x:c r="B43" s="20"/>
      <x:c r="C43" s="20"/>
      <x:c r="D43" s="20"/>
      <x:c r="E43" s="20"/>
      <x:c r="F43" s="20"/>
      <x:c r="G43" s="20"/>
      <x:c r="H43" s="20"/>
      <x:c r="I43" s="20"/>
      <x:c r="J43" s="20"/>
      <x:c r="K43" s="20"/>
      <x:c r="L43" s="23"/>
      <x:c r="M43" s="23"/>
      <x:c r="N43" s="23"/>
      <x:c r="O43" s="23"/>
      <x:c r="P43" s="20"/>
      <x:c r="Q43" s="20"/>
      <x:c r="R43" s="20"/>
      <x:c r="S43" s="23"/>
      <x:c r="T43" s="20"/>
      <x:c r="U43" s="23"/>
      <x:c r="V43" s="20" t="str">
        <x:f>IF(A43="","",IF(AND(I43="Approved",O43&lt;TODAY()),"YES","NO"))</x:f>
      </x:c>
    </x:row>
    <x:row r="44">
      <x:c r="A44" s="20"/>
      <x:c r="B44" s="20"/>
      <x:c r="C44" s="20"/>
      <x:c r="D44" s="20"/>
      <x:c r="E44" s="20"/>
      <x:c r="F44" s="20"/>
      <x:c r="G44" s="20"/>
      <x:c r="H44" s="20"/>
      <x:c r="I44" s="20"/>
      <x:c r="J44" s="20"/>
      <x:c r="K44" s="20"/>
      <x:c r="L44" s="23"/>
      <x:c r="M44" s="23"/>
      <x:c r="N44" s="23"/>
      <x:c r="O44" s="23"/>
      <x:c r="P44" s="20"/>
      <x:c r="Q44" s="20"/>
      <x:c r="R44" s="20"/>
      <x:c r="S44" s="23"/>
      <x:c r="T44" s="20"/>
      <x:c r="U44" s="23"/>
      <x:c r="V44" s="20" t="str">
        <x:f>IF(A44="","",IF(AND(I44="Approved",O44&lt;TODAY()),"YES","NO"))</x:f>
      </x:c>
    </x:row>
    <x:row r="45">
      <x:c r="A45" s="20"/>
      <x:c r="B45" s="20"/>
      <x:c r="C45" s="20"/>
      <x:c r="D45" s="20"/>
      <x:c r="E45" s="20"/>
      <x:c r="F45" s="20"/>
      <x:c r="G45" s="20"/>
      <x:c r="H45" s="20"/>
      <x:c r="I45" s="20"/>
      <x:c r="J45" s="20"/>
      <x:c r="K45" s="20"/>
      <x:c r="L45" s="23"/>
      <x:c r="M45" s="23"/>
      <x:c r="N45" s="23"/>
      <x:c r="O45" s="23"/>
      <x:c r="P45" s="20"/>
      <x:c r="Q45" s="20"/>
      <x:c r="R45" s="20"/>
      <x:c r="S45" s="23"/>
      <x:c r="T45" s="20"/>
      <x:c r="U45" s="23"/>
      <x:c r="V45" s="20" t="str">
        <x:f>IF(A45="","",IF(AND(I45="Approved",O45&lt;TODAY()),"YES","NO"))</x:f>
      </x:c>
    </x:row>
    <x:row r="46">
      <x:c r="A46" s="20"/>
      <x:c r="B46" s="20"/>
      <x:c r="C46" s="20"/>
      <x:c r="D46" s="20"/>
      <x:c r="E46" s="20"/>
      <x:c r="F46" s="20"/>
      <x:c r="G46" s="20"/>
      <x:c r="H46" s="20"/>
      <x:c r="I46" s="20"/>
      <x:c r="J46" s="20"/>
      <x:c r="K46" s="20"/>
      <x:c r="L46" s="23"/>
      <x:c r="M46" s="23"/>
      <x:c r="N46" s="23"/>
      <x:c r="O46" s="23"/>
      <x:c r="P46" s="20"/>
      <x:c r="Q46" s="20"/>
      <x:c r="R46" s="20"/>
      <x:c r="S46" s="23"/>
      <x:c r="T46" s="20"/>
      <x:c r="U46" s="23"/>
      <x:c r="V46" s="20" t="str">
        <x:f>IF(A46="","",IF(AND(I46="Approved",O46&lt;TODAY()),"YES","NO"))</x:f>
      </x:c>
    </x:row>
    <x:row r="47">
      <x:c r="A47" s="20"/>
      <x:c r="B47" s="20"/>
      <x:c r="C47" s="20"/>
      <x:c r="D47" s="20"/>
      <x:c r="E47" s="20"/>
      <x:c r="F47" s="20"/>
      <x:c r="G47" s="20"/>
      <x:c r="H47" s="20"/>
      <x:c r="I47" s="20"/>
      <x:c r="J47" s="20"/>
      <x:c r="K47" s="20"/>
      <x:c r="L47" s="23"/>
      <x:c r="M47" s="23"/>
      <x:c r="N47" s="23"/>
      <x:c r="O47" s="23"/>
      <x:c r="P47" s="20"/>
      <x:c r="Q47" s="20"/>
      <x:c r="R47" s="20"/>
      <x:c r="S47" s="23"/>
      <x:c r="T47" s="20"/>
      <x:c r="U47" s="23"/>
      <x:c r="V47" s="20" t="str">
        <x:f>IF(A47="","",IF(AND(I47="Approved",O47&lt;TODAY()),"YES","NO"))</x:f>
      </x:c>
    </x:row>
    <x:row r="48">
      <x:c r="A48" s="20"/>
      <x:c r="B48" s="20"/>
      <x:c r="C48" s="20"/>
      <x:c r="D48" s="20"/>
      <x:c r="E48" s="20"/>
      <x:c r="F48" s="20"/>
      <x:c r="G48" s="20"/>
      <x:c r="H48" s="20"/>
      <x:c r="I48" s="20"/>
      <x:c r="J48" s="20"/>
      <x:c r="K48" s="20"/>
      <x:c r="L48" s="23"/>
      <x:c r="M48" s="23"/>
      <x:c r="N48" s="23"/>
      <x:c r="O48" s="23"/>
      <x:c r="P48" s="20"/>
      <x:c r="Q48" s="20"/>
      <x:c r="R48" s="20"/>
      <x:c r="S48" s="23"/>
      <x:c r="T48" s="20"/>
      <x:c r="U48" s="23"/>
      <x:c r="V48" s="20" t="str">
        <x:f>IF(A48="","",IF(AND(I48="Approved",O48&lt;TODAY()),"YES","NO"))</x:f>
      </x:c>
    </x:row>
    <x:row r="49">
      <x:c r="A49" s="20"/>
      <x:c r="B49" s="20"/>
      <x:c r="C49" s="20"/>
      <x:c r="D49" s="20"/>
      <x:c r="E49" s="20"/>
      <x:c r="F49" s="20"/>
      <x:c r="G49" s="20"/>
      <x:c r="H49" s="20"/>
      <x:c r="I49" s="20"/>
      <x:c r="J49" s="20"/>
      <x:c r="K49" s="20"/>
      <x:c r="L49" s="23"/>
      <x:c r="M49" s="23"/>
      <x:c r="N49" s="23"/>
      <x:c r="O49" s="23"/>
      <x:c r="P49" s="20"/>
      <x:c r="Q49" s="20"/>
      <x:c r="R49" s="20"/>
      <x:c r="S49" s="23"/>
      <x:c r="T49" s="20"/>
      <x:c r="U49" s="23"/>
      <x:c r="V49" s="20" t="str">
        <x:f>IF(A49="","",IF(AND(I49="Approved",O49&lt;TODAY()),"YES","NO"))</x:f>
      </x:c>
    </x:row>
    <x:row r="50">
      <x:c r="A50" s="20"/>
      <x:c r="B50" s="20"/>
      <x:c r="C50" s="20"/>
      <x:c r="D50" s="20"/>
      <x:c r="E50" s="20"/>
      <x:c r="F50" s="20"/>
      <x:c r="G50" s="20"/>
      <x:c r="H50" s="20"/>
      <x:c r="I50" s="20"/>
      <x:c r="J50" s="20"/>
      <x:c r="K50" s="20"/>
      <x:c r="L50" s="23"/>
      <x:c r="M50" s="23"/>
      <x:c r="N50" s="23"/>
      <x:c r="O50" s="23"/>
      <x:c r="P50" s="20"/>
      <x:c r="Q50" s="20"/>
      <x:c r="R50" s="20"/>
      <x:c r="S50" s="23"/>
      <x:c r="T50" s="20"/>
      <x:c r="U50" s="23"/>
      <x:c r="V50" s="20" t="str">
        <x:f>IF(A50="","",IF(AND(I50="Approved",O50&lt;TODAY()),"YES","NO"))</x:f>
      </x:c>
    </x:row>
    <x:row r="51">
      <x:c r="A51" s="20"/>
      <x:c r="B51" s="20"/>
      <x:c r="C51" s="20"/>
      <x:c r="D51" s="20"/>
      <x:c r="E51" s="20"/>
      <x:c r="F51" s="20"/>
      <x:c r="G51" s="20"/>
      <x:c r="H51" s="20"/>
      <x:c r="I51" s="20"/>
      <x:c r="J51" s="20"/>
      <x:c r="K51" s="20"/>
      <x:c r="L51" s="23"/>
      <x:c r="M51" s="23"/>
      <x:c r="N51" s="23"/>
      <x:c r="O51" s="23"/>
      <x:c r="P51" s="20"/>
      <x:c r="Q51" s="20"/>
      <x:c r="R51" s="20"/>
      <x:c r="S51" s="23"/>
      <x:c r="T51" s="20"/>
      <x:c r="U51" s="23"/>
      <x:c r="V51" s="20" t="str">
        <x:f>IF(A51="","",IF(AND(I51="Approved",O51&lt;TODAY()),"YES","NO"))</x:f>
      </x:c>
    </x:row>
    <x:row r="52">
      <x:c r="A52" s="20"/>
      <x:c r="B52" s="20"/>
      <x:c r="C52" s="20"/>
      <x:c r="D52" s="20"/>
      <x:c r="E52" s="20"/>
      <x:c r="F52" s="20"/>
      <x:c r="G52" s="20"/>
      <x:c r="H52" s="20"/>
      <x:c r="I52" s="20"/>
      <x:c r="J52" s="20"/>
      <x:c r="K52" s="20"/>
      <x:c r="L52" s="23"/>
      <x:c r="M52" s="23"/>
      <x:c r="N52" s="23"/>
      <x:c r="O52" s="23"/>
      <x:c r="P52" s="20"/>
      <x:c r="Q52" s="20"/>
      <x:c r="R52" s="20"/>
      <x:c r="S52" s="23"/>
      <x:c r="T52" s="20"/>
      <x:c r="U52" s="23"/>
      <x:c r="V52" s="20" t="str">
        <x:f>IF(A52="","",IF(AND(I52="Approved",O52&lt;TODAY()),"YES","NO"))</x:f>
      </x:c>
    </x:row>
    <x:row r="53">
      <x:c r="A53" s="20"/>
      <x:c r="B53" s="20"/>
      <x:c r="C53" s="20"/>
      <x:c r="D53" s="20"/>
      <x:c r="E53" s="20"/>
      <x:c r="F53" s="20"/>
      <x:c r="G53" s="20"/>
      <x:c r="H53" s="20"/>
      <x:c r="I53" s="20"/>
      <x:c r="J53" s="20"/>
      <x:c r="K53" s="20"/>
      <x:c r="L53" s="23"/>
      <x:c r="M53" s="23"/>
      <x:c r="N53" s="23"/>
      <x:c r="O53" s="23"/>
      <x:c r="P53" s="20"/>
      <x:c r="Q53" s="20"/>
      <x:c r="R53" s="20"/>
      <x:c r="S53" s="23"/>
      <x:c r="T53" s="20"/>
      <x:c r="U53" s="23"/>
      <x:c r="V53" s="20" t="str">
        <x:f>IF(A53="","",IF(AND(I53="Approved",O53&lt;TODAY()),"YES","NO"))</x:f>
      </x:c>
    </x:row>
    <x:row r="54">
      <x:c r="A54" s="20"/>
      <x:c r="B54" s="20"/>
      <x:c r="C54" s="20"/>
      <x:c r="D54" s="20"/>
      <x:c r="E54" s="20"/>
      <x:c r="F54" s="20"/>
      <x:c r="G54" s="20"/>
      <x:c r="H54" s="20"/>
      <x:c r="I54" s="20"/>
      <x:c r="J54" s="20"/>
      <x:c r="K54" s="20"/>
      <x:c r="L54" s="23"/>
      <x:c r="M54" s="23"/>
      <x:c r="N54" s="23"/>
      <x:c r="O54" s="23"/>
      <x:c r="P54" s="20"/>
      <x:c r="Q54" s="20"/>
      <x:c r="R54" s="20"/>
      <x:c r="S54" s="23"/>
      <x:c r="T54" s="20"/>
      <x:c r="U54" s="23"/>
      <x:c r="V54" s="20" t="str">
        <x:f>IF(A54="","",IF(AND(I54="Approved",O54&lt;TODAY()),"YES","NO"))</x:f>
      </x:c>
    </x:row>
    <x:row r="55">
      <x:c r="A55" s="20"/>
      <x:c r="B55" s="20"/>
      <x:c r="C55" s="20"/>
      <x:c r="D55" s="20"/>
      <x:c r="E55" s="20"/>
      <x:c r="F55" s="20"/>
      <x:c r="G55" s="20"/>
      <x:c r="H55" s="20"/>
      <x:c r="I55" s="20"/>
      <x:c r="J55" s="20"/>
      <x:c r="K55" s="20"/>
      <x:c r="L55" s="23"/>
      <x:c r="M55" s="23"/>
      <x:c r="N55" s="23"/>
      <x:c r="O55" s="23"/>
      <x:c r="P55" s="20"/>
      <x:c r="Q55" s="20"/>
      <x:c r="R55" s="20"/>
      <x:c r="S55" s="23"/>
      <x:c r="T55" s="20"/>
      <x:c r="U55" s="23"/>
      <x:c r="V55" s="20" t="str">
        <x:f>IF(A55="","",IF(AND(I55="Approved",O55&lt;TODAY()),"YES","NO"))</x:f>
      </x:c>
    </x:row>
    <x:row r="56">
      <x:c r="A56" s="20"/>
      <x:c r="B56" s="20"/>
      <x:c r="C56" s="20"/>
      <x:c r="D56" s="20"/>
      <x:c r="E56" s="20"/>
      <x:c r="F56" s="20"/>
      <x:c r="G56" s="20"/>
      <x:c r="H56" s="20"/>
      <x:c r="I56" s="20"/>
      <x:c r="J56" s="20"/>
      <x:c r="K56" s="20"/>
      <x:c r="L56" s="23"/>
      <x:c r="M56" s="23"/>
      <x:c r="N56" s="23"/>
      <x:c r="O56" s="23"/>
      <x:c r="P56" s="20"/>
      <x:c r="Q56" s="20"/>
      <x:c r="R56" s="20"/>
      <x:c r="S56" s="23"/>
      <x:c r="T56" s="20"/>
      <x:c r="U56" s="23"/>
      <x:c r="V56" s="20" t="str">
        <x:f>IF(A56="","",IF(AND(I56="Approved",O56&lt;TODAY()),"YES","NO"))</x:f>
      </x:c>
    </x:row>
    <x:row r="57">
      <x:c r="A57" s="20"/>
      <x:c r="B57" s="20"/>
      <x:c r="C57" s="20"/>
      <x:c r="D57" s="20"/>
      <x:c r="E57" s="20"/>
      <x:c r="F57" s="20"/>
      <x:c r="G57" s="20"/>
      <x:c r="H57" s="20"/>
      <x:c r="I57" s="20"/>
      <x:c r="J57" s="20"/>
      <x:c r="K57" s="20"/>
      <x:c r="L57" s="23"/>
      <x:c r="M57" s="23"/>
      <x:c r="N57" s="23"/>
      <x:c r="O57" s="23"/>
      <x:c r="P57" s="20"/>
      <x:c r="Q57" s="20"/>
      <x:c r="R57" s="20"/>
      <x:c r="S57" s="23"/>
      <x:c r="T57" s="20"/>
      <x:c r="U57" s="23"/>
      <x:c r="V57" s="20" t="str">
        <x:f>IF(A57="","",IF(AND(I57="Approved",O57&lt;TODAY()),"YES","NO"))</x:f>
      </x:c>
    </x:row>
    <x:row r="58">
      <x:c r="A58" s="20"/>
      <x:c r="B58" s="20"/>
      <x:c r="C58" s="20"/>
      <x:c r="D58" s="20"/>
      <x:c r="E58" s="20"/>
      <x:c r="F58" s="20"/>
      <x:c r="G58" s="20"/>
      <x:c r="H58" s="20"/>
      <x:c r="I58" s="20"/>
      <x:c r="J58" s="20"/>
      <x:c r="K58" s="20"/>
      <x:c r="L58" s="23"/>
      <x:c r="M58" s="23"/>
      <x:c r="N58" s="23"/>
      <x:c r="O58" s="23"/>
      <x:c r="P58" s="20"/>
      <x:c r="Q58" s="20"/>
      <x:c r="R58" s="20"/>
      <x:c r="S58" s="23"/>
      <x:c r="T58" s="20"/>
      <x:c r="U58" s="23"/>
      <x:c r="V58" s="20" t="str">
        <x:f>IF(A58="","",IF(AND(I58="Approved",O58&lt;TODAY()),"YES","NO"))</x:f>
      </x:c>
    </x:row>
    <x:row r="59">
      <x:c r="A59" s="20"/>
      <x:c r="B59" s="20"/>
      <x:c r="C59" s="20"/>
      <x:c r="D59" s="20"/>
      <x:c r="E59" s="20"/>
      <x:c r="F59" s="20"/>
      <x:c r="G59" s="20"/>
      <x:c r="H59" s="20"/>
      <x:c r="I59" s="20"/>
      <x:c r="J59" s="20"/>
      <x:c r="K59" s="20"/>
      <x:c r="L59" s="23"/>
      <x:c r="M59" s="23"/>
      <x:c r="N59" s="23"/>
      <x:c r="O59" s="23"/>
      <x:c r="P59" s="20"/>
      <x:c r="Q59" s="20"/>
      <x:c r="R59" s="20"/>
      <x:c r="S59" s="23"/>
      <x:c r="T59" s="20"/>
      <x:c r="U59" s="23"/>
      <x:c r="V59" s="20" t="str">
        <x:f>IF(A59="","",IF(AND(I59="Approved",O59&lt;TODAY()),"YES","NO"))</x:f>
      </x:c>
    </x:row>
    <x:row r="60">
      <x:c r="A60" s="20"/>
      <x:c r="B60" s="20"/>
      <x:c r="C60" s="20"/>
      <x:c r="D60" s="20"/>
      <x:c r="E60" s="20"/>
      <x:c r="F60" s="20"/>
      <x:c r="G60" s="20"/>
      <x:c r="H60" s="20"/>
      <x:c r="I60" s="20"/>
      <x:c r="J60" s="20"/>
      <x:c r="K60" s="20"/>
      <x:c r="L60" s="23"/>
      <x:c r="M60" s="23"/>
      <x:c r="N60" s="23"/>
      <x:c r="O60" s="23"/>
      <x:c r="P60" s="20"/>
      <x:c r="Q60" s="20"/>
      <x:c r="R60" s="20"/>
      <x:c r="S60" s="23"/>
      <x:c r="T60" s="20"/>
      <x:c r="U60" s="23"/>
      <x:c r="V60" s="20" t="str">
        <x:f>IF(A60="","",IF(AND(I60="Approved",O60&lt;TODAY()),"YES","NO"))</x:f>
      </x:c>
    </x:row>
    <x:row r="61">
      <x:c r="A61" s="20"/>
      <x:c r="B61" s="20"/>
      <x:c r="C61" s="20"/>
      <x:c r="D61" s="20"/>
      <x:c r="E61" s="20"/>
      <x:c r="F61" s="20"/>
      <x:c r="G61" s="20"/>
      <x:c r="H61" s="20"/>
      <x:c r="I61" s="20"/>
      <x:c r="J61" s="20"/>
      <x:c r="K61" s="20"/>
      <x:c r="L61" s="23"/>
      <x:c r="M61" s="23"/>
      <x:c r="N61" s="23"/>
      <x:c r="O61" s="23"/>
      <x:c r="P61" s="20"/>
      <x:c r="Q61" s="20"/>
      <x:c r="R61" s="20"/>
      <x:c r="S61" s="23"/>
      <x:c r="T61" s="20"/>
      <x:c r="U61" s="23"/>
      <x:c r="V61" s="20" t="str">
        <x:f>IF(A61="","",IF(AND(I61="Approved",O61&lt;TODAY()),"YES","NO"))</x:f>
      </x:c>
    </x:row>
    <x:row r="62">
      <x:c r="A62" s="20"/>
      <x:c r="B62" s="20"/>
      <x:c r="C62" s="20"/>
      <x:c r="D62" s="20"/>
      <x:c r="E62" s="20"/>
      <x:c r="F62" s="20"/>
      <x:c r="G62" s="20"/>
      <x:c r="H62" s="20"/>
      <x:c r="I62" s="20"/>
      <x:c r="J62" s="20"/>
      <x:c r="K62" s="20"/>
      <x:c r="L62" s="23"/>
      <x:c r="M62" s="23"/>
      <x:c r="N62" s="23"/>
      <x:c r="O62" s="23"/>
      <x:c r="P62" s="20"/>
      <x:c r="Q62" s="20"/>
      <x:c r="R62" s="20"/>
      <x:c r="S62" s="23"/>
      <x:c r="T62" s="20"/>
      <x:c r="U62" s="23"/>
      <x:c r="V62" s="20" t="str">
        <x:f>IF(A62="","",IF(AND(I62="Approved",O62&lt;TODAY()),"YES","NO"))</x:f>
      </x:c>
    </x:row>
    <x:row r="63">
      <x:c r="A63" s="20"/>
      <x:c r="B63" s="20"/>
      <x:c r="C63" s="20"/>
      <x:c r="D63" s="20"/>
      <x:c r="E63" s="20"/>
      <x:c r="F63" s="20"/>
      <x:c r="G63" s="20"/>
      <x:c r="H63" s="20"/>
      <x:c r="I63" s="20"/>
      <x:c r="J63" s="20"/>
      <x:c r="K63" s="20"/>
      <x:c r="L63" s="23"/>
      <x:c r="M63" s="23"/>
      <x:c r="N63" s="23"/>
      <x:c r="O63" s="23"/>
      <x:c r="P63" s="20"/>
      <x:c r="Q63" s="20"/>
      <x:c r="R63" s="20"/>
      <x:c r="S63" s="23"/>
      <x:c r="T63" s="20"/>
      <x:c r="U63" s="23"/>
      <x:c r="V63" s="20" t="str">
        <x:f>IF(A63="","",IF(AND(I63="Approved",O63&lt;TODAY()),"YES","NO"))</x:f>
      </x:c>
    </x:row>
    <x:row r="64">
      <x:c r="A64" s="20"/>
      <x:c r="B64" s="20"/>
      <x:c r="C64" s="20"/>
      <x:c r="D64" s="20"/>
      <x:c r="E64" s="20"/>
      <x:c r="F64" s="20"/>
      <x:c r="G64" s="20"/>
      <x:c r="H64" s="20"/>
      <x:c r="I64" s="20"/>
      <x:c r="J64" s="20"/>
      <x:c r="K64" s="20"/>
      <x:c r="L64" s="23"/>
      <x:c r="M64" s="23"/>
      <x:c r="N64" s="23"/>
      <x:c r="O64" s="23"/>
      <x:c r="P64" s="20"/>
      <x:c r="Q64" s="20"/>
      <x:c r="R64" s="20"/>
      <x:c r="S64" s="23"/>
      <x:c r="T64" s="20"/>
      <x:c r="U64" s="23"/>
      <x:c r="V64" s="20" t="str">
        <x:f>IF(A64="","",IF(AND(I64="Approved",O64&lt;TODAY()),"YES","NO"))</x:f>
      </x:c>
    </x:row>
    <x:row r="65">
      <x:c r="A65" s="20"/>
      <x:c r="B65" s="20"/>
      <x:c r="C65" s="20"/>
      <x:c r="D65" s="20"/>
      <x:c r="E65" s="20"/>
      <x:c r="F65" s="20"/>
      <x:c r="G65" s="20"/>
      <x:c r="H65" s="20"/>
      <x:c r="I65" s="20"/>
      <x:c r="J65" s="20"/>
      <x:c r="K65" s="20"/>
      <x:c r="L65" s="23"/>
      <x:c r="M65" s="23"/>
      <x:c r="N65" s="23"/>
      <x:c r="O65" s="23"/>
      <x:c r="P65" s="20"/>
      <x:c r="Q65" s="20"/>
      <x:c r="R65" s="20"/>
      <x:c r="S65" s="23"/>
      <x:c r="T65" s="20"/>
      <x:c r="U65" s="23"/>
      <x:c r="V65" s="20" t="str">
        <x:f>IF(A65="","",IF(AND(I65="Approved",O65&lt;TODAY()),"YES","NO"))</x:f>
      </x:c>
    </x:row>
    <x:row r="66">
      <x:c r="A66" s="20"/>
      <x:c r="B66" s="20"/>
      <x:c r="C66" s="20"/>
      <x:c r="D66" s="20"/>
      <x:c r="E66" s="20"/>
      <x:c r="F66" s="20"/>
      <x:c r="G66" s="20"/>
      <x:c r="H66" s="20"/>
      <x:c r="I66" s="20"/>
      <x:c r="J66" s="20"/>
      <x:c r="K66" s="20"/>
      <x:c r="L66" s="23"/>
      <x:c r="M66" s="23"/>
      <x:c r="N66" s="23"/>
      <x:c r="O66" s="23"/>
      <x:c r="P66" s="20"/>
      <x:c r="Q66" s="20"/>
      <x:c r="R66" s="20"/>
      <x:c r="S66" s="23"/>
      <x:c r="T66" s="20"/>
      <x:c r="U66" s="23"/>
      <x:c r="V66" s="20" t="str">
        <x:f>IF(A66="","",IF(AND(I66="Approved",O66&lt;TODAY()),"YES","NO"))</x:f>
      </x:c>
    </x:row>
    <x:row r="67">
      <x:c r="A67" s="20"/>
      <x:c r="B67" s="20"/>
      <x:c r="C67" s="20"/>
      <x:c r="D67" s="20"/>
      <x:c r="E67" s="20"/>
      <x:c r="F67" s="20"/>
      <x:c r="G67" s="20"/>
      <x:c r="H67" s="20"/>
      <x:c r="I67" s="20"/>
      <x:c r="J67" s="20"/>
      <x:c r="K67" s="20"/>
      <x:c r="L67" s="23"/>
      <x:c r="M67" s="23"/>
      <x:c r="N67" s="23"/>
      <x:c r="O67" s="23"/>
      <x:c r="P67" s="20"/>
      <x:c r="Q67" s="20"/>
      <x:c r="R67" s="20"/>
      <x:c r="S67" s="23"/>
      <x:c r="T67" s="20"/>
      <x:c r="U67" s="23"/>
      <x:c r="V67" s="20" t="str">
        <x:f>IF(A67="","",IF(AND(I67="Approved",O67&lt;TODAY()),"YES","NO"))</x:f>
      </x:c>
    </x:row>
    <x:row r="68">
      <x:c r="A68" s="20"/>
      <x:c r="B68" s="20"/>
      <x:c r="C68" s="20"/>
      <x:c r="D68" s="20"/>
      <x:c r="E68" s="20"/>
      <x:c r="F68" s="20"/>
      <x:c r="G68" s="20"/>
      <x:c r="H68" s="20"/>
      <x:c r="I68" s="20"/>
      <x:c r="J68" s="20"/>
      <x:c r="K68" s="20"/>
      <x:c r="L68" s="23"/>
      <x:c r="M68" s="23"/>
      <x:c r="N68" s="23"/>
      <x:c r="O68" s="23"/>
      <x:c r="P68" s="20"/>
      <x:c r="Q68" s="20"/>
      <x:c r="R68" s="20"/>
      <x:c r="S68" s="23"/>
      <x:c r="T68" s="20"/>
      <x:c r="U68" s="23"/>
      <x:c r="V68" s="20" t="str">
        <x:f>IF(A68="","",IF(AND(I68="Approved",O68&lt;TODAY()),"YES","NO"))</x:f>
      </x:c>
    </x:row>
    <x:row r="69">
      <x:c r="A69" s="20"/>
      <x:c r="B69" s="20"/>
      <x:c r="C69" s="20"/>
      <x:c r="D69" s="20"/>
      <x:c r="E69" s="20"/>
      <x:c r="F69" s="20"/>
      <x:c r="G69" s="20"/>
      <x:c r="H69" s="20"/>
      <x:c r="I69" s="20"/>
      <x:c r="J69" s="20"/>
      <x:c r="K69" s="20"/>
      <x:c r="L69" s="23"/>
      <x:c r="M69" s="23"/>
      <x:c r="N69" s="23"/>
      <x:c r="O69" s="23"/>
      <x:c r="P69" s="20"/>
      <x:c r="Q69" s="20"/>
      <x:c r="R69" s="20"/>
      <x:c r="S69" s="23"/>
      <x:c r="T69" s="20"/>
      <x:c r="U69" s="23"/>
      <x:c r="V69" s="20" t="str">
        <x:f>IF(A69="","",IF(AND(I69="Approved",O69&lt;TODAY()),"YES","NO"))</x:f>
      </x:c>
    </x:row>
    <x:row r="70">
      <x:c r="A70" s="20"/>
      <x:c r="B70" s="20"/>
      <x:c r="C70" s="20"/>
      <x:c r="D70" s="20"/>
      <x:c r="E70" s="20"/>
      <x:c r="F70" s="20"/>
      <x:c r="G70" s="20"/>
      <x:c r="H70" s="20"/>
      <x:c r="I70" s="20"/>
      <x:c r="J70" s="20"/>
      <x:c r="K70" s="20"/>
      <x:c r="L70" s="23"/>
      <x:c r="M70" s="23"/>
      <x:c r="N70" s="23"/>
      <x:c r="O70" s="23"/>
      <x:c r="P70" s="20"/>
      <x:c r="Q70" s="20"/>
      <x:c r="R70" s="20"/>
      <x:c r="S70" s="23"/>
      <x:c r="T70" s="20"/>
      <x:c r="U70" s="23"/>
      <x:c r="V70" s="20" t="str">
        <x:f>IF(A70="","",IF(AND(I70="Approved",O70&lt;TODAY()),"YES","NO"))</x:f>
      </x:c>
    </x:row>
    <x:row r="71">
      <x:c r="A71" s="20"/>
      <x:c r="B71" s="20"/>
      <x:c r="C71" s="20"/>
      <x:c r="D71" s="20"/>
      <x:c r="E71" s="20"/>
      <x:c r="F71" s="20"/>
      <x:c r="G71" s="20"/>
      <x:c r="H71" s="20"/>
      <x:c r="I71" s="20"/>
      <x:c r="J71" s="20"/>
      <x:c r="K71" s="20"/>
      <x:c r="L71" s="23"/>
      <x:c r="M71" s="23"/>
      <x:c r="N71" s="23"/>
      <x:c r="O71" s="23"/>
      <x:c r="P71" s="20"/>
      <x:c r="Q71" s="20"/>
      <x:c r="R71" s="20"/>
      <x:c r="S71" s="23"/>
      <x:c r="T71" s="20"/>
      <x:c r="U71" s="23"/>
      <x:c r="V71" s="20" t="str">
        <x:f>IF(A71="","",IF(AND(I71="Approved",O71&lt;TODAY()),"YES","NO"))</x:f>
      </x:c>
    </x:row>
    <x:row r="72">
      <x:c r="A72" s="20"/>
      <x:c r="B72" s="20"/>
      <x:c r="C72" s="20"/>
      <x:c r="D72" s="20"/>
      <x:c r="E72" s="20"/>
      <x:c r="F72" s="20"/>
      <x:c r="G72" s="20"/>
      <x:c r="H72" s="20"/>
      <x:c r="I72" s="20"/>
      <x:c r="J72" s="20"/>
      <x:c r="K72" s="20"/>
      <x:c r="L72" s="23"/>
      <x:c r="M72" s="23"/>
      <x:c r="N72" s="23"/>
      <x:c r="O72" s="23"/>
      <x:c r="P72" s="20"/>
      <x:c r="Q72" s="20"/>
      <x:c r="R72" s="20"/>
      <x:c r="S72" s="23"/>
      <x:c r="T72" s="20"/>
      <x:c r="U72" s="23"/>
      <x:c r="V72" s="20" t="str">
        <x:f>IF(A72="","",IF(AND(I72="Approved",O72&lt;TODAY()),"YES","NO"))</x:f>
      </x:c>
    </x:row>
    <x:row r="73">
      <x:c r="A73" s="20"/>
      <x:c r="B73" s="20"/>
      <x:c r="C73" s="20"/>
      <x:c r="D73" s="20"/>
      <x:c r="E73" s="20"/>
      <x:c r="F73" s="20"/>
      <x:c r="G73" s="20"/>
      <x:c r="H73" s="20"/>
      <x:c r="I73" s="20"/>
      <x:c r="J73" s="20"/>
      <x:c r="K73" s="20"/>
      <x:c r="L73" s="23"/>
      <x:c r="M73" s="23"/>
      <x:c r="N73" s="23"/>
      <x:c r="O73" s="23"/>
      <x:c r="P73" s="20"/>
      <x:c r="Q73" s="20"/>
      <x:c r="R73" s="20"/>
      <x:c r="S73" s="23"/>
      <x:c r="T73" s="20"/>
      <x:c r="U73" s="23"/>
      <x:c r="V73" s="20" t="str">
        <x:f>IF(A73="","",IF(AND(I73="Approved",O73&lt;TODAY()),"YES","NO"))</x:f>
      </x:c>
    </x:row>
    <x:row r="74">
      <x:c r="A74" s="20"/>
      <x:c r="B74" s="20"/>
      <x:c r="C74" s="20"/>
      <x:c r="D74" s="20"/>
      <x:c r="E74" s="20"/>
      <x:c r="F74" s="20"/>
      <x:c r="G74" s="20"/>
      <x:c r="H74" s="20"/>
      <x:c r="I74" s="20"/>
      <x:c r="J74" s="20"/>
      <x:c r="K74" s="20"/>
      <x:c r="L74" s="23"/>
      <x:c r="M74" s="23"/>
      <x:c r="N74" s="23"/>
      <x:c r="O74" s="23"/>
      <x:c r="P74" s="20"/>
      <x:c r="Q74" s="20"/>
      <x:c r="R74" s="20"/>
      <x:c r="S74" s="23"/>
      <x:c r="T74" s="20"/>
      <x:c r="U74" s="23"/>
      <x:c r="V74" s="20" t="str">
        <x:f>IF(A74="","",IF(AND(I74="Approved",O74&lt;TODAY()),"YES","NO"))</x:f>
      </x:c>
    </x:row>
    <x:row r="75">
      <x:c r="A75" s="20"/>
      <x:c r="B75" s="20"/>
      <x:c r="C75" s="20"/>
      <x:c r="D75" s="20"/>
      <x:c r="E75" s="20"/>
      <x:c r="F75" s="20"/>
      <x:c r="G75" s="20"/>
      <x:c r="H75" s="20"/>
      <x:c r="I75" s="20"/>
      <x:c r="J75" s="20"/>
      <x:c r="K75" s="20"/>
      <x:c r="L75" s="23"/>
      <x:c r="M75" s="23"/>
      <x:c r="N75" s="23"/>
      <x:c r="O75" s="23"/>
      <x:c r="P75" s="20"/>
      <x:c r="Q75" s="20"/>
      <x:c r="R75" s="20"/>
      <x:c r="S75" s="23"/>
      <x:c r="T75" s="20"/>
      <x:c r="U75" s="23"/>
      <x:c r="V75" s="20" t="str">
        <x:f>IF(A75="","",IF(AND(I75="Approved",O75&lt;TODAY()),"YES","NO"))</x:f>
      </x:c>
    </x:row>
    <x:row r="76">
      <x:c r="A76" s="20"/>
      <x:c r="B76" s="20"/>
      <x:c r="C76" s="20"/>
      <x:c r="D76" s="20"/>
      <x:c r="E76" s="20"/>
      <x:c r="F76" s="20"/>
      <x:c r="G76" s="20"/>
      <x:c r="H76" s="20"/>
      <x:c r="I76" s="20"/>
      <x:c r="J76" s="20"/>
      <x:c r="K76" s="20"/>
      <x:c r="L76" s="23"/>
      <x:c r="M76" s="23"/>
      <x:c r="N76" s="23"/>
      <x:c r="O76" s="23"/>
      <x:c r="P76" s="20"/>
      <x:c r="Q76" s="20"/>
      <x:c r="R76" s="20"/>
      <x:c r="S76" s="23"/>
      <x:c r="T76" s="20"/>
      <x:c r="U76" s="23"/>
      <x:c r="V76" s="20" t="str">
        <x:f>IF(A76="","",IF(AND(I76="Approved",O76&lt;TODAY()),"YES","NO"))</x:f>
      </x:c>
    </x:row>
    <x:row r="77">
      <x:c r="A77" s="20"/>
      <x:c r="B77" s="20"/>
      <x:c r="C77" s="20"/>
      <x:c r="D77" s="20"/>
      <x:c r="E77" s="20"/>
      <x:c r="F77" s="20"/>
      <x:c r="G77" s="20"/>
      <x:c r="H77" s="20"/>
      <x:c r="I77" s="20"/>
      <x:c r="J77" s="20"/>
      <x:c r="K77" s="20"/>
      <x:c r="L77" s="23"/>
      <x:c r="M77" s="23"/>
      <x:c r="N77" s="23"/>
      <x:c r="O77" s="23"/>
      <x:c r="P77" s="20"/>
      <x:c r="Q77" s="20"/>
      <x:c r="R77" s="20"/>
      <x:c r="S77" s="23"/>
      <x:c r="T77" s="20"/>
      <x:c r="U77" s="23"/>
      <x:c r="V77" s="20" t="str">
        <x:f>IF(A77="","",IF(AND(I77="Approved",O77&lt;TODAY()),"YES","NO"))</x:f>
      </x:c>
    </x:row>
    <x:row r="78">
      <x:c r="A78" s="20"/>
      <x:c r="B78" s="20"/>
      <x:c r="C78" s="20"/>
      <x:c r="D78" s="20"/>
      <x:c r="E78" s="20"/>
      <x:c r="F78" s="20"/>
      <x:c r="G78" s="20"/>
      <x:c r="H78" s="20"/>
      <x:c r="I78" s="20"/>
      <x:c r="J78" s="20"/>
      <x:c r="K78" s="20"/>
      <x:c r="L78" s="23"/>
      <x:c r="M78" s="23"/>
      <x:c r="N78" s="23"/>
      <x:c r="O78" s="23"/>
      <x:c r="P78" s="20"/>
      <x:c r="Q78" s="20"/>
      <x:c r="R78" s="20"/>
      <x:c r="S78" s="23"/>
      <x:c r="T78" s="20"/>
      <x:c r="U78" s="23"/>
      <x:c r="V78" s="20" t="str">
        <x:f>IF(A78="","",IF(AND(I78="Approved",O78&lt;TODAY()),"YES","NO"))</x:f>
      </x:c>
    </x:row>
    <x:row r="79">
      <x:c r="A79" s="20"/>
      <x:c r="B79" s="20"/>
      <x:c r="C79" s="20"/>
      <x:c r="D79" s="20"/>
      <x:c r="E79" s="20"/>
      <x:c r="F79" s="20"/>
      <x:c r="G79" s="20"/>
      <x:c r="H79" s="20"/>
      <x:c r="I79" s="20"/>
      <x:c r="J79" s="20"/>
      <x:c r="K79" s="20"/>
      <x:c r="L79" s="23"/>
      <x:c r="M79" s="23"/>
      <x:c r="N79" s="23"/>
      <x:c r="O79" s="23"/>
      <x:c r="P79" s="20"/>
      <x:c r="Q79" s="20"/>
      <x:c r="R79" s="20"/>
      <x:c r="S79" s="23"/>
      <x:c r="T79" s="20"/>
      <x:c r="U79" s="23"/>
      <x:c r="V79" s="20" t="str">
        <x:f>IF(A79="","",IF(AND(I79="Approved",O79&lt;TODAY()),"YES","NO"))</x:f>
      </x:c>
    </x:row>
    <x:row r="80">
      <x:c r="A80" s="20"/>
      <x:c r="B80" s="20"/>
      <x:c r="C80" s="20"/>
      <x:c r="D80" s="20"/>
      <x:c r="E80" s="20"/>
      <x:c r="F80" s="20"/>
      <x:c r="G80" s="20"/>
      <x:c r="H80" s="20"/>
      <x:c r="I80" s="20"/>
      <x:c r="J80" s="20"/>
      <x:c r="K80" s="20"/>
      <x:c r="L80" s="23"/>
      <x:c r="M80" s="23"/>
      <x:c r="N80" s="23"/>
      <x:c r="O80" s="23"/>
      <x:c r="P80" s="20"/>
      <x:c r="Q80" s="20"/>
      <x:c r="R80" s="20"/>
      <x:c r="S80" s="23"/>
      <x:c r="T80" s="20"/>
      <x:c r="U80" s="23"/>
      <x:c r="V80" s="20" t="str">
        <x:f>IF(A80="","",IF(AND(I80="Approved",O80&lt;TODAY()),"YES","NO"))</x:f>
      </x:c>
    </x:row>
    <x:row r="81">
      <x:c r="A81" s="20"/>
      <x:c r="B81" s="20"/>
      <x:c r="C81" s="20"/>
      <x:c r="D81" s="20"/>
      <x:c r="E81" s="20"/>
      <x:c r="F81" s="20"/>
      <x:c r="G81" s="20"/>
      <x:c r="H81" s="20"/>
      <x:c r="I81" s="20"/>
      <x:c r="J81" s="20"/>
      <x:c r="K81" s="20"/>
      <x:c r="L81" s="23"/>
      <x:c r="M81" s="23"/>
      <x:c r="N81" s="23"/>
      <x:c r="O81" s="23"/>
      <x:c r="P81" s="20"/>
      <x:c r="Q81" s="20"/>
      <x:c r="R81" s="20"/>
      <x:c r="S81" s="23"/>
      <x:c r="T81" s="20"/>
      <x:c r="U81" s="23"/>
      <x:c r="V81" s="20" t="str">
        <x:f>IF(A81="","",IF(AND(I81="Approved",O81&lt;TODAY()),"YES","NO"))</x:f>
      </x:c>
    </x:row>
    <x:row r="82">
      <x:c r="A82" s="20"/>
      <x:c r="B82" s="20"/>
      <x:c r="C82" s="20"/>
      <x:c r="D82" s="20"/>
      <x:c r="E82" s="20"/>
      <x:c r="F82" s="20"/>
      <x:c r="G82" s="20"/>
      <x:c r="H82" s="20"/>
      <x:c r="I82" s="20"/>
      <x:c r="J82" s="20"/>
      <x:c r="K82" s="20"/>
      <x:c r="L82" s="23"/>
      <x:c r="M82" s="23"/>
      <x:c r="N82" s="23"/>
      <x:c r="O82" s="23"/>
      <x:c r="P82" s="20"/>
      <x:c r="Q82" s="20"/>
      <x:c r="R82" s="20"/>
      <x:c r="S82" s="23"/>
      <x:c r="T82" s="20"/>
      <x:c r="U82" s="23"/>
      <x:c r="V82" s="20" t="str">
        <x:f>IF(A82="","",IF(AND(I82="Approved",O82&lt;TODAY()),"YES","NO"))</x:f>
      </x:c>
    </x:row>
    <x:row r="83">
      <x:c r="A83" s="20"/>
      <x:c r="B83" s="20"/>
      <x:c r="C83" s="20"/>
      <x:c r="D83" s="20"/>
      <x:c r="E83" s="20"/>
      <x:c r="F83" s="20"/>
      <x:c r="G83" s="20"/>
      <x:c r="H83" s="20"/>
      <x:c r="I83" s="20"/>
      <x:c r="J83" s="20"/>
      <x:c r="K83" s="20"/>
      <x:c r="L83" s="23"/>
      <x:c r="M83" s="23"/>
      <x:c r="N83" s="23"/>
      <x:c r="O83" s="23"/>
      <x:c r="P83" s="20"/>
      <x:c r="Q83" s="20"/>
      <x:c r="R83" s="20"/>
      <x:c r="S83" s="23"/>
      <x:c r="T83" s="20"/>
      <x:c r="U83" s="23"/>
      <x:c r="V83" s="20" t="str">
        <x:f>IF(A83="","",IF(AND(I83="Approved",O83&lt;TODAY()),"YES","NO"))</x:f>
      </x:c>
    </x:row>
    <x:row r="84">
      <x:c r="A84" s="20"/>
      <x:c r="B84" s="20"/>
      <x:c r="C84" s="20"/>
      <x:c r="D84" s="20"/>
      <x:c r="E84" s="20"/>
      <x:c r="F84" s="20"/>
      <x:c r="G84" s="20"/>
      <x:c r="H84" s="20"/>
      <x:c r="I84" s="20"/>
      <x:c r="J84" s="20"/>
      <x:c r="K84" s="20"/>
      <x:c r="L84" s="23"/>
      <x:c r="M84" s="23"/>
      <x:c r="N84" s="23"/>
      <x:c r="O84" s="23"/>
      <x:c r="P84" s="20"/>
      <x:c r="Q84" s="20"/>
      <x:c r="R84" s="20"/>
      <x:c r="S84" s="23"/>
      <x:c r="T84" s="20"/>
      <x:c r="U84" s="23"/>
      <x:c r="V84" s="20" t="str">
        <x:f>IF(A84="","",IF(AND(I84="Approved",O84&lt;TODAY()),"YES","NO"))</x:f>
      </x:c>
    </x:row>
    <x:row r="85">
      <x:c r="A85" s="20"/>
      <x:c r="B85" s="20"/>
      <x:c r="C85" s="20"/>
      <x:c r="D85" s="20"/>
      <x:c r="E85" s="20"/>
      <x:c r="F85" s="20"/>
      <x:c r="G85" s="20"/>
      <x:c r="H85" s="20"/>
      <x:c r="I85" s="20"/>
      <x:c r="J85" s="20"/>
      <x:c r="K85" s="20"/>
      <x:c r="L85" s="23"/>
      <x:c r="M85" s="23"/>
      <x:c r="N85" s="23"/>
      <x:c r="O85" s="23"/>
      <x:c r="P85" s="20"/>
      <x:c r="Q85" s="20"/>
      <x:c r="R85" s="20"/>
      <x:c r="S85" s="23"/>
      <x:c r="T85" s="20"/>
      <x:c r="U85" s="23"/>
      <x:c r="V85" s="20" t="str">
        <x:f>IF(A85="","",IF(AND(I85="Approved",O85&lt;TODAY()),"YES","NO"))</x:f>
      </x:c>
    </x:row>
    <x:row r="86">
      <x:c r="A86" s="20"/>
      <x:c r="B86" s="20"/>
      <x:c r="C86" s="20"/>
      <x:c r="D86" s="20"/>
      <x:c r="E86" s="20"/>
      <x:c r="F86" s="20"/>
      <x:c r="G86" s="20"/>
      <x:c r="H86" s="20"/>
      <x:c r="I86" s="20"/>
      <x:c r="J86" s="20"/>
      <x:c r="K86" s="20"/>
      <x:c r="L86" s="23"/>
      <x:c r="M86" s="23"/>
      <x:c r="N86" s="23"/>
      <x:c r="O86" s="23"/>
      <x:c r="P86" s="20"/>
      <x:c r="Q86" s="20"/>
      <x:c r="R86" s="20"/>
      <x:c r="S86" s="23"/>
      <x:c r="T86" s="20"/>
      <x:c r="U86" s="23"/>
      <x:c r="V86" s="20" t="str">
        <x:f>IF(A86="","",IF(AND(I86="Approved",O86&lt;TODAY()),"YES","NO"))</x:f>
      </x:c>
    </x:row>
    <x:row r="87">
      <x:c r="A87" s="20"/>
      <x:c r="B87" s="20"/>
      <x:c r="C87" s="20"/>
      <x:c r="D87" s="20"/>
      <x:c r="E87" s="20"/>
      <x:c r="F87" s="20"/>
      <x:c r="G87" s="20"/>
      <x:c r="H87" s="20"/>
      <x:c r="I87" s="20"/>
      <x:c r="J87" s="20"/>
      <x:c r="K87" s="20"/>
      <x:c r="L87" s="23"/>
      <x:c r="M87" s="23"/>
      <x:c r="N87" s="23"/>
      <x:c r="O87" s="23"/>
      <x:c r="P87" s="20"/>
      <x:c r="Q87" s="20"/>
      <x:c r="R87" s="20"/>
      <x:c r="S87" s="23"/>
      <x:c r="T87" s="20"/>
      <x:c r="U87" s="23"/>
      <x:c r="V87" s="20" t="str">
        <x:f>IF(A87="","",IF(AND(I87="Approved",O87&lt;TODAY()),"YES","NO"))</x:f>
      </x:c>
    </x:row>
    <x:row r="88">
      <x:c r="A88" s="20"/>
      <x:c r="B88" s="20"/>
      <x:c r="C88" s="20"/>
      <x:c r="D88" s="20"/>
      <x:c r="E88" s="20"/>
      <x:c r="F88" s="20"/>
      <x:c r="G88" s="20"/>
      <x:c r="H88" s="20"/>
      <x:c r="I88" s="20"/>
      <x:c r="J88" s="20"/>
      <x:c r="K88" s="20"/>
      <x:c r="L88" s="23"/>
      <x:c r="M88" s="23"/>
      <x:c r="N88" s="23"/>
      <x:c r="O88" s="23"/>
      <x:c r="P88" s="20"/>
      <x:c r="Q88" s="20"/>
      <x:c r="R88" s="20"/>
      <x:c r="S88" s="23"/>
      <x:c r="T88" s="20"/>
      <x:c r="U88" s="23"/>
      <x:c r="V88" s="20" t="str">
        <x:f>IF(A88="","",IF(AND(I88="Approved",O88&lt;TODAY()),"YES","NO"))</x:f>
      </x:c>
    </x:row>
    <x:row r="89">
      <x:c r="A89" s="20"/>
      <x:c r="B89" s="20"/>
      <x:c r="C89" s="20"/>
      <x:c r="D89" s="20"/>
      <x:c r="E89" s="20"/>
      <x:c r="F89" s="20"/>
      <x:c r="G89" s="20"/>
      <x:c r="H89" s="20"/>
      <x:c r="I89" s="20"/>
      <x:c r="J89" s="20"/>
      <x:c r="K89" s="20"/>
      <x:c r="L89" s="23"/>
      <x:c r="M89" s="23"/>
      <x:c r="N89" s="23"/>
      <x:c r="O89" s="23"/>
      <x:c r="P89" s="20"/>
      <x:c r="Q89" s="20"/>
      <x:c r="R89" s="20"/>
      <x:c r="S89" s="23"/>
      <x:c r="T89" s="20"/>
      <x:c r="U89" s="23"/>
      <x:c r="V89" s="20" t="str">
        <x:f>IF(A89="","",IF(AND(I89="Approved",O89&lt;TODAY()),"YES","NO"))</x:f>
      </x:c>
    </x:row>
    <x:row r="90">
      <x:c r="A90" s="20"/>
      <x:c r="B90" s="20"/>
      <x:c r="C90" s="20"/>
      <x:c r="D90" s="20"/>
      <x:c r="E90" s="20"/>
      <x:c r="F90" s="20"/>
      <x:c r="G90" s="20"/>
      <x:c r="H90" s="20"/>
      <x:c r="I90" s="20"/>
      <x:c r="J90" s="20"/>
      <x:c r="K90" s="20"/>
      <x:c r="L90" s="23"/>
      <x:c r="M90" s="23"/>
      <x:c r="N90" s="23"/>
      <x:c r="O90" s="23"/>
      <x:c r="P90" s="20"/>
      <x:c r="Q90" s="20"/>
      <x:c r="R90" s="20"/>
      <x:c r="S90" s="23"/>
      <x:c r="T90" s="20"/>
      <x:c r="U90" s="23"/>
      <x:c r="V90" s="20" t="str">
        <x:f>IF(A90="","",IF(AND(I90="Approved",O90&lt;TODAY()),"YES","NO"))</x:f>
      </x:c>
    </x:row>
    <x:row r="91">
      <x:c r="A91" s="20"/>
      <x:c r="B91" s="20"/>
      <x:c r="C91" s="20"/>
      <x:c r="D91" s="20"/>
      <x:c r="E91" s="20"/>
      <x:c r="F91" s="20"/>
      <x:c r="G91" s="20"/>
      <x:c r="H91" s="20"/>
      <x:c r="I91" s="20"/>
      <x:c r="J91" s="20"/>
      <x:c r="K91" s="20"/>
      <x:c r="L91" s="23"/>
      <x:c r="M91" s="23"/>
      <x:c r="N91" s="23"/>
      <x:c r="O91" s="23"/>
      <x:c r="P91" s="20"/>
      <x:c r="Q91" s="20"/>
      <x:c r="R91" s="20"/>
      <x:c r="S91" s="23"/>
      <x:c r="T91" s="20"/>
      <x:c r="U91" s="23"/>
      <x:c r="V91" s="20" t="str">
        <x:f>IF(A91="","",IF(AND(I91="Approved",O91&lt;TODAY()),"YES","NO"))</x:f>
      </x:c>
    </x:row>
    <x:row r="92">
      <x:c r="A92" s="20"/>
      <x:c r="B92" s="20"/>
      <x:c r="C92" s="20"/>
      <x:c r="D92" s="20"/>
      <x:c r="E92" s="20"/>
      <x:c r="F92" s="20"/>
      <x:c r="G92" s="20"/>
      <x:c r="H92" s="20"/>
      <x:c r="I92" s="20"/>
      <x:c r="J92" s="20"/>
      <x:c r="K92" s="20"/>
      <x:c r="L92" s="23"/>
      <x:c r="M92" s="23"/>
      <x:c r="N92" s="23"/>
      <x:c r="O92" s="23"/>
      <x:c r="P92" s="20"/>
      <x:c r="Q92" s="20"/>
      <x:c r="R92" s="20"/>
      <x:c r="S92" s="23"/>
      <x:c r="T92" s="20"/>
      <x:c r="U92" s="23"/>
      <x:c r="V92" s="20" t="str">
        <x:f>IF(A92="","",IF(AND(I92="Approved",O92&lt;TODAY()),"YES","NO"))</x:f>
      </x:c>
    </x:row>
    <x:row r="93">
      <x:c r="A93" s="20"/>
      <x:c r="B93" s="20"/>
      <x:c r="C93" s="20"/>
      <x:c r="D93" s="20"/>
      <x:c r="E93" s="20"/>
      <x:c r="F93" s="20"/>
      <x:c r="G93" s="20"/>
      <x:c r="H93" s="20"/>
      <x:c r="I93" s="20"/>
      <x:c r="J93" s="20"/>
      <x:c r="K93" s="20"/>
      <x:c r="L93" s="23"/>
      <x:c r="M93" s="23"/>
      <x:c r="N93" s="23"/>
      <x:c r="O93" s="23"/>
      <x:c r="P93" s="20"/>
      <x:c r="Q93" s="20"/>
      <x:c r="R93" s="20"/>
      <x:c r="S93" s="23"/>
      <x:c r="T93" s="20"/>
      <x:c r="U93" s="23"/>
      <x:c r="V93" s="20" t="str">
        <x:f>IF(A93="","",IF(AND(I93="Approved",O93&lt;TODAY()),"YES","NO"))</x:f>
      </x:c>
    </x:row>
    <x:row r="94">
      <x:c r="A94" s="20"/>
      <x:c r="B94" s="20"/>
      <x:c r="C94" s="20"/>
      <x:c r="D94" s="20"/>
      <x:c r="E94" s="20"/>
      <x:c r="F94" s="20"/>
      <x:c r="G94" s="20"/>
      <x:c r="H94" s="20"/>
      <x:c r="I94" s="20"/>
      <x:c r="J94" s="20"/>
      <x:c r="K94" s="20"/>
      <x:c r="L94" s="23"/>
      <x:c r="M94" s="23"/>
      <x:c r="N94" s="23"/>
      <x:c r="O94" s="23"/>
      <x:c r="P94" s="20"/>
      <x:c r="Q94" s="20"/>
      <x:c r="R94" s="20"/>
      <x:c r="S94" s="23"/>
      <x:c r="T94" s="20"/>
      <x:c r="U94" s="23"/>
      <x:c r="V94" s="20" t="str">
        <x:f>IF(A94="","",IF(AND(I94="Approved",O94&lt;TODAY()),"YES","NO"))</x:f>
      </x:c>
    </x:row>
    <x:row r="95">
      <x:c r="A95" s="20"/>
      <x:c r="B95" s="20"/>
      <x:c r="C95" s="20"/>
      <x:c r="D95" s="20"/>
      <x:c r="E95" s="20"/>
      <x:c r="F95" s="20"/>
      <x:c r="G95" s="20"/>
      <x:c r="H95" s="20"/>
      <x:c r="I95" s="20"/>
      <x:c r="J95" s="20"/>
      <x:c r="K95" s="20"/>
      <x:c r="L95" s="23"/>
      <x:c r="M95" s="23"/>
      <x:c r="N95" s="23"/>
      <x:c r="O95" s="23"/>
      <x:c r="P95" s="20"/>
      <x:c r="Q95" s="20"/>
      <x:c r="R95" s="20"/>
      <x:c r="S95" s="23"/>
      <x:c r="T95" s="20"/>
      <x:c r="U95" s="23"/>
      <x:c r="V95" s="20" t="str">
        <x:f>IF(A95="","",IF(AND(I95="Approved",O95&lt;TODAY()),"YES","NO"))</x:f>
      </x:c>
    </x:row>
    <x:row r="96">
      <x:c r="A96" s="20"/>
      <x:c r="B96" s="20"/>
      <x:c r="C96" s="20"/>
      <x:c r="D96" s="20"/>
      <x:c r="E96" s="20"/>
      <x:c r="F96" s="20"/>
      <x:c r="G96" s="20"/>
      <x:c r="H96" s="20"/>
      <x:c r="I96" s="20"/>
      <x:c r="J96" s="20"/>
      <x:c r="K96" s="20"/>
      <x:c r="L96" s="23"/>
      <x:c r="M96" s="23"/>
      <x:c r="N96" s="23"/>
      <x:c r="O96" s="23"/>
      <x:c r="P96" s="20"/>
      <x:c r="Q96" s="20"/>
      <x:c r="R96" s="20"/>
      <x:c r="S96" s="23"/>
      <x:c r="T96" s="20"/>
      <x:c r="U96" s="23"/>
      <x:c r="V96" s="20" t="str">
        <x:f>IF(A96="","",IF(AND(I96="Approved",O96&lt;TODAY()),"YES","NO"))</x:f>
      </x:c>
    </x:row>
    <x:row r="97">
      <x:c r="A97" s="20"/>
      <x:c r="B97" s="20"/>
      <x:c r="C97" s="20"/>
      <x:c r="D97" s="20"/>
      <x:c r="E97" s="20"/>
      <x:c r="F97" s="20"/>
      <x:c r="G97" s="20"/>
      <x:c r="H97" s="20"/>
      <x:c r="I97" s="20"/>
      <x:c r="J97" s="20"/>
      <x:c r="K97" s="20"/>
      <x:c r="L97" s="23"/>
      <x:c r="M97" s="23"/>
      <x:c r="N97" s="23"/>
      <x:c r="O97" s="23"/>
      <x:c r="P97" s="20"/>
      <x:c r="Q97" s="20"/>
      <x:c r="R97" s="20"/>
      <x:c r="S97" s="23"/>
      <x:c r="T97" s="20"/>
      <x:c r="U97" s="23"/>
      <x:c r="V97" s="20" t="str">
        <x:f>IF(A97="","",IF(AND(I97="Approved",O97&lt;TODAY()),"YES","NO"))</x:f>
      </x:c>
    </x:row>
    <x:row r="98">
      <x:c r="A98" s="20"/>
      <x:c r="B98" s="20"/>
      <x:c r="C98" s="20"/>
      <x:c r="D98" s="20"/>
      <x:c r="E98" s="20"/>
      <x:c r="F98" s="20"/>
      <x:c r="G98" s="20"/>
      <x:c r="H98" s="20"/>
      <x:c r="I98" s="20"/>
      <x:c r="J98" s="20"/>
      <x:c r="K98" s="20"/>
      <x:c r="L98" s="23"/>
      <x:c r="M98" s="23"/>
      <x:c r="N98" s="23"/>
      <x:c r="O98" s="23"/>
      <x:c r="P98" s="20"/>
      <x:c r="Q98" s="20"/>
      <x:c r="R98" s="20"/>
      <x:c r="S98" s="23"/>
      <x:c r="T98" s="20"/>
      <x:c r="U98" s="23"/>
      <x:c r="V98" s="20" t="str">
        <x:f>IF(A98="","",IF(AND(I98="Approved",O98&lt;TODAY()),"YES","NO"))</x:f>
      </x:c>
    </x:row>
    <x:row r="99">
      <x:c r="A99" s="20"/>
      <x:c r="B99" s="20"/>
      <x:c r="C99" s="20"/>
      <x:c r="D99" s="20"/>
      <x:c r="E99" s="20"/>
      <x:c r="F99" s="20"/>
      <x:c r="G99" s="20"/>
      <x:c r="H99" s="20"/>
      <x:c r="I99" s="20"/>
      <x:c r="J99" s="20"/>
      <x:c r="K99" s="20"/>
      <x:c r="L99" s="23"/>
      <x:c r="M99" s="23"/>
      <x:c r="N99" s="23"/>
      <x:c r="O99" s="23"/>
      <x:c r="P99" s="20"/>
      <x:c r="Q99" s="20"/>
      <x:c r="R99" s="20"/>
      <x:c r="S99" s="23"/>
      <x:c r="T99" s="20"/>
      <x:c r="U99" s="23"/>
      <x:c r="V99" s="20" t="str">
        <x:f>IF(A99="","",IF(AND(I99="Approved",O99&lt;TODAY()),"YES","NO"))</x:f>
      </x:c>
    </x:row>
    <x:row r="100">
      <x:c r="A100" s="20"/>
      <x:c r="B100" s="20"/>
      <x:c r="C100" s="20"/>
      <x:c r="D100" s="20"/>
      <x:c r="E100" s="20"/>
      <x:c r="F100" s="20"/>
      <x:c r="G100" s="20"/>
      <x:c r="H100" s="20"/>
      <x:c r="I100" s="20"/>
      <x:c r="J100" s="20"/>
      <x:c r="K100" s="20"/>
      <x:c r="L100" s="23"/>
      <x:c r="M100" s="23"/>
      <x:c r="N100" s="23"/>
      <x:c r="O100" s="23"/>
      <x:c r="P100" s="20"/>
      <x:c r="Q100" s="20"/>
      <x:c r="R100" s="20"/>
      <x:c r="S100" s="23"/>
      <x:c r="T100" s="20"/>
      <x:c r="U100" s="23"/>
      <x:c r="V100" s="20" t="str">
        <x:f>IF(A100="","",IF(AND(I100="Approved",O100&lt;TODAY()),"YES","NO"))</x:f>
      </x:c>
    </x:row>
    <x:row r="101">
      <x:c r="A101" s="20"/>
      <x:c r="B101" s="20"/>
      <x:c r="C101" s="20"/>
      <x:c r="D101" s="20"/>
      <x:c r="E101" s="20"/>
      <x:c r="F101" s="20"/>
      <x:c r="G101" s="20"/>
      <x:c r="H101" s="20"/>
      <x:c r="I101" s="20"/>
      <x:c r="J101" s="20"/>
      <x:c r="K101" s="20"/>
      <x:c r="L101" s="23"/>
      <x:c r="M101" s="23"/>
      <x:c r="N101" s="23"/>
      <x:c r="O101" s="23"/>
      <x:c r="P101" s="20"/>
      <x:c r="Q101" s="20"/>
      <x:c r="R101" s="20"/>
      <x:c r="S101" s="23"/>
      <x:c r="T101" s="20"/>
      <x:c r="U101" s="23"/>
      <x:c r="V101" s="20" t="str">
        <x:f>IF(A101="","",IF(AND(I101="Approved",O101&lt;TODAY()),"YES","NO"))</x:f>
      </x:c>
    </x:row>
    <x:row r="102">
      <x:c r="A102" s="20"/>
      <x:c r="B102" s="20"/>
      <x:c r="C102" s="20"/>
      <x:c r="D102" s="20"/>
      <x:c r="E102" s="20"/>
      <x:c r="F102" s="20"/>
      <x:c r="G102" s="20"/>
      <x:c r="H102" s="20"/>
      <x:c r="I102" s="20"/>
      <x:c r="J102" s="20"/>
      <x:c r="K102" s="20"/>
      <x:c r="L102" s="23"/>
      <x:c r="M102" s="23"/>
      <x:c r="N102" s="23"/>
      <x:c r="O102" s="23"/>
      <x:c r="P102" s="20"/>
      <x:c r="Q102" s="20"/>
      <x:c r="R102" s="20"/>
      <x:c r="S102" s="23"/>
      <x:c r="T102" s="20"/>
      <x:c r="U102" s="23"/>
      <x:c r="V102" s="20" t="str">
        <x:f>IF(A102="","",IF(AND(I102="Approved",O102&lt;TODAY()),"YES","NO"))</x:f>
      </x:c>
    </x:row>
    <x:row r="103">
      <x:c r="A103" s="20"/>
      <x:c r="B103" s="20"/>
      <x:c r="C103" s="20"/>
      <x:c r="D103" s="20"/>
      <x:c r="E103" s="20"/>
      <x:c r="F103" s="20"/>
      <x:c r="G103" s="20"/>
      <x:c r="H103" s="20"/>
      <x:c r="I103" s="20"/>
      <x:c r="J103" s="20"/>
      <x:c r="K103" s="20"/>
      <x:c r="L103" s="23"/>
      <x:c r="M103" s="23"/>
      <x:c r="N103" s="23"/>
      <x:c r="O103" s="23"/>
      <x:c r="P103" s="20"/>
      <x:c r="Q103" s="20"/>
      <x:c r="R103" s="20"/>
      <x:c r="S103" s="23"/>
      <x:c r="T103" s="20"/>
      <x:c r="U103" s="23"/>
      <x:c r="V103" s="20" t="str">
        <x:f>IF(A103="","",IF(AND(I103="Approved",O103&lt;TODAY()),"YES","NO"))</x:f>
      </x:c>
    </x:row>
    <x:row r="104">
      <x:c r="A104" s="20"/>
      <x:c r="B104" s="20"/>
      <x:c r="C104" s="20"/>
      <x:c r="D104" s="20"/>
      <x:c r="E104" s="20"/>
      <x:c r="F104" s="20"/>
      <x:c r="G104" s="20"/>
      <x:c r="H104" s="20"/>
      <x:c r="I104" s="20"/>
      <x:c r="J104" s="20"/>
      <x:c r="K104" s="20"/>
      <x:c r="L104" s="23"/>
      <x:c r="M104" s="23"/>
      <x:c r="N104" s="23"/>
      <x:c r="O104" s="23"/>
      <x:c r="P104" s="20"/>
      <x:c r="Q104" s="20"/>
      <x:c r="R104" s="20"/>
      <x:c r="S104" s="23"/>
      <x:c r="T104" s="20"/>
      <x:c r="U104" s="23"/>
      <x:c r="V104" s="20" t="str">
        <x:f>IF(A104="","",IF(AND(I104="Approved",O104&lt;TODAY()),"YES","NO"))</x:f>
      </x:c>
    </x:row>
    <x:row r="105">
      <x:c r="A105" s="20"/>
      <x:c r="B105" s="20"/>
      <x:c r="C105" s="20"/>
      <x:c r="D105" s="20"/>
      <x:c r="E105" s="20"/>
      <x:c r="F105" s="20"/>
      <x:c r="G105" s="20"/>
      <x:c r="H105" s="20"/>
      <x:c r="I105" s="20"/>
      <x:c r="J105" s="20"/>
      <x:c r="K105" s="20"/>
      <x:c r="L105" s="23"/>
      <x:c r="M105" s="23"/>
      <x:c r="N105" s="23"/>
      <x:c r="O105" s="23"/>
      <x:c r="P105" s="20"/>
      <x:c r="Q105" s="20"/>
      <x:c r="R105" s="20"/>
      <x:c r="S105" s="23"/>
      <x:c r="T105" s="20"/>
      <x:c r="U105" s="23"/>
      <x:c r="V105" s="20" t="str">
        <x:f>IF(A105="","",IF(AND(I105="Approved",O105&lt;TODAY()),"YES","NO"))</x:f>
      </x:c>
    </x:row>
    <x:row r="106">
      <x:c r="A106" s="20"/>
      <x:c r="B106" s="20"/>
      <x:c r="C106" s="20"/>
      <x:c r="D106" s="20"/>
      <x:c r="E106" s="20"/>
      <x:c r="F106" s="20"/>
      <x:c r="G106" s="20"/>
      <x:c r="H106" s="20"/>
      <x:c r="I106" s="20"/>
      <x:c r="J106" s="20"/>
      <x:c r="K106" s="20"/>
      <x:c r="L106" s="23"/>
      <x:c r="M106" s="23"/>
      <x:c r="N106" s="23"/>
      <x:c r="O106" s="23"/>
      <x:c r="P106" s="20"/>
      <x:c r="Q106" s="20"/>
      <x:c r="R106" s="20"/>
      <x:c r="S106" s="23"/>
      <x:c r="T106" s="20"/>
      <x:c r="U106" s="23"/>
      <x:c r="V106" s="20" t="str">
        <x:f>IF(A106="","",IF(AND(I106="Approved",O106&lt;TODAY()),"YES","NO"))</x:f>
      </x:c>
    </x:row>
    <x:row r="107">
      <x:c r="A107" s="20"/>
      <x:c r="B107" s="20"/>
      <x:c r="C107" s="20"/>
      <x:c r="D107" s="20"/>
      <x:c r="E107" s="20"/>
      <x:c r="F107" s="20"/>
      <x:c r="G107" s="20"/>
      <x:c r="H107" s="20"/>
      <x:c r="I107" s="20"/>
      <x:c r="J107" s="20"/>
      <x:c r="K107" s="20"/>
      <x:c r="L107" s="23"/>
      <x:c r="M107" s="23"/>
      <x:c r="N107" s="23"/>
      <x:c r="O107" s="23"/>
      <x:c r="P107" s="20"/>
      <x:c r="Q107" s="20"/>
      <x:c r="R107" s="20"/>
      <x:c r="S107" s="23"/>
      <x:c r="T107" s="20"/>
      <x:c r="U107" s="23"/>
      <x:c r="V107" s="20" t="str">
        <x:f>IF(A107="","",IF(AND(I107="Approved",O107&lt;TODAY()),"YES","NO"))</x:f>
      </x:c>
    </x:row>
    <x:row r="108">
      <x:c r="A108" s="20"/>
      <x:c r="B108" s="20"/>
      <x:c r="C108" s="20"/>
      <x:c r="D108" s="20"/>
      <x:c r="E108" s="20"/>
      <x:c r="F108" s="20"/>
      <x:c r="G108" s="20"/>
      <x:c r="H108" s="20"/>
      <x:c r="I108" s="20"/>
      <x:c r="J108" s="20"/>
      <x:c r="K108" s="20"/>
      <x:c r="L108" s="23"/>
      <x:c r="M108" s="23"/>
      <x:c r="N108" s="23"/>
      <x:c r="O108" s="23"/>
      <x:c r="P108" s="20"/>
      <x:c r="Q108" s="20"/>
      <x:c r="R108" s="20"/>
      <x:c r="S108" s="23"/>
      <x:c r="T108" s="20"/>
      <x:c r="U108" s="23"/>
      <x:c r="V108" s="20" t="str">
        <x:f>IF(A108="","",IF(AND(I108="Approved",O108&lt;TODAY()),"YES","NO"))</x:f>
      </x:c>
    </x:row>
    <x:row r="109">
      <x:c r="A109" s="20"/>
      <x:c r="B109" s="20"/>
      <x:c r="C109" s="20"/>
      <x:c r="D109" s="20"/>
      <x:c r="E109" s="20"/>
      <x:c r="F109" s="20"/>
      <x:c r="G109" s="20"/>
      <x:c r="H109" s="20"/>
      <x:c r="I109" s="20"/>
      <x:c r="J109" s="20"/>
      <x:c r="K109" s="20"/>
      <x:c r="L109" s="23"/>
      <x:c r="M109" s="23"/>
      <x:c r="N109" s="23"/>
      <x:c r="O109" s="23"/>
      <x:c r="P109" s="20"/>
      <x:c r="Q109" s="20"/>
      <x:c r="R109" s="20"/>
      <x:c r="S109" s="23"/>
      <x:c r="T109" s="20"/>
      <x:c r="U109" s="23"/>
      <x:c r="V109" s="20" t="str">
        <x:f>IF(A109="","",IF(AND(I109="Approved",O109&lt;TODAY()),"YES","NO"))</x:f>
      </x:c>
    </x:row>
    <x:row r="110">
      <x:c r="A110" s="20"/>
      <x:c r="B110" s="20"/>
      <x:c r="C110" s="20"/>
      <x:c r="D110" s="20"/>
      <x:c r="E110" s="20"/>
      <x:c r="F110" s="20"/>
      <x:c r="G110" s="20"/>
      <x:c r="H110" s="20"/>
      <x:c r="I110" s="20"/>
      <x:c r="J110" s="20"/>
      <x:c r="K110" s="20"/>
      <x:c r="L110" s="23"/>
      <x:c r="M110" s="23"/>
      <x:c r="N110" s="23"/>
      <x:c r="O110" s="23"/>
      <x:c r="P110" s="20"/>
      <x:c r="Q110" s="20"/>
      <x:c r="R110" s="20"/>
      <x:c r="S110" s="23"/>
      <x:c r="T110" s="20"/>
      <x:c r="U110" s="23"/>
      <x:c r="V110" s="20" t="str">
        <x:f>IF(A110="","",IF(AND(I110="Approved",O110&lt;TODAY()),"YES","NO"))</x:f>
      </x:c>
    </x:row>
    <x:row r="111">
      <x:c r="A111" s="20"/>
      <x:c r="B111" s="20"/>
      <x:c r="C111" s="20"/>
      <x:c r="D111" s="20"/>
      <x:c r="E111" s="20"/>
      <x:c r="F111" s="20"/>
      <x:c r="G111" s="20"/>
      <x:c r="H111" s="20"/>
      <x:c r="I111" s="20"/>
      <x:c r="J111" s="20"/>
      <x:c r="K111" s="20"/>
      <x:c r="L111" s="23"/>
      <x:c r="M111" s="23"/>
      <x:c r="N111" s="23"/>
      <x:c r="O111" s="23"/>
      <x:c r="P111" s="20"/>
      <x:c r="Q111" s="20"/>
      <x:c r="R111" s="20"/>
      <x:c r="S111" s="23"/>
      <x:c r="T111" s="20"/>
      <x:c r="U111" s="23"/>
      <x:c r="V111" s="20" t="str">
        <x:f>IF(A111="","",IF(AND(I111="Approved",O111&lt;TODAY()),"YES","NO"))</x:f>
      </x:c>
    </x:row>
    <x:row r="112">
      <x:c r="A112" s="20"/>
      <x:c r="B112" s="20"/>
      <x:c r="C112" s="20"/>
      <x:c r="D112" s="20"/>
      <x:c r="E112" s="20"/>
      <x:c r="F112" s="20"/>
      <x:c r="G112" s="20"/>
      <x:c r="H112" s="20"/>
      <x:c r="I112" s="20"/>
      <x:c r="J112" s="20"/>
      <x:c r="K112" s="20"/>
      <x:c r="L112" s="23"/>
      <x:c r="M112" s="23"/>
      <x:c r="N112" s="23"/>
      <x:c r="O112" s="23"/>
      <x:c r="P112" s="20"/>
      <x:c r="Q112" s="20"/>
      <x:c r="R112" s="20"/>
      <x:c r="S112" s="23"/>
      <x:c r="T112" s="20"/>
      <x:c r="U112" s="23"/>
      <x:c r="V112" s="20" t="str">
        <x:f>IF(A112="","",IF(AND(I112="Approved",O112&lt;TODAY()),"YES","NO"))</x:f>
      </x:c>
    </x:row>
    <x:row r="113">
      <x:c r="A113" s="20"/>
      <x:c r="B113" s="20"/>
      <x:c r="C113" s="20"/>
      <x:c r="D113" s="20"/>
      <x:c r="E113" s="20"/>
      <x:c r="F113" s="20"/>
      <x:c r="G113" s="20"/>
      <x:c r="H113" s="20"/>
      <x:c r="I113" s="20"/>
      <x:c r="J113" s="20"/>
      <x:c r="K113" s="20"/>
      <x:c r="L113" s="23"/>
      <x:c r="M113" s="23"/>
      <x:c r="N113" s="23"/>
      <x:c r="O113" s="23"/>
      <x:c r="P113" s="20"/>
      <x:c r="Q113" s="20"/>
      <x:c r="R113" s="20"/>
      <x:c r="S113" s="23"/>
      <x:c r="T113" s="20"/>
      <x:c r="U113" s="23"/>
      <x:c r="V113" s="20" t="str">
        <x:f>IF(A113="","",IF(AND(I113="Approved",O113&lt;TODAY()),"YES","NO"))</x:f>
      </x:c>
    </x:row>
    <x:row r="114">
      <x:c r="A114" s="20"/>
      <x:c r="B114" s="20"/>
      <x:c r="C114" s="20"/>
      <x:c r="D114" s="20"/>
      <x:c r="E114" s="20"/>
      <x:c r="F114" s="20"/>
      <x:c r="G114" s="20"/>
      <x:c r="H114" s="20"/>
      <x:c r="I114" s="20"/>
      <x:c r="J114" s="20"/>
      <x:c r="K114" s="20"/>
      <x:c r="L114" s="23"/>
      <x:c r="M114" s="23"/>
      <x:c r="N114" s="23"/>
      <x:c r="O114" s="23"/>
      <x:c r="P114" s="20"/>
      <x:c r="Q114" s="20"/>
      <x:c r="R114" s="20"/>
      <x:c r="S114" s="23"/>
      <x:c r="T114" s="20"/>
      <x:c r="U114" s="23"/>
      <x:c r="V114" s="20" t="str">
        <x:f>IF(A114="","",IF(AND(I114="Approved",O114&lt;TODAY()),"YES","NO"))</x:f>
      </x:c>
    </x:row>
    <x:row r="115">
      <x:c r="A115" s="20"/>
      <x:c r="B115" s="20"/>
      <x:c r="C115" s="20"/>
      <x:c r="D115" s="20"/>
      <x:c r="E115" s="20"/>
      <x:c r="F115" s="20"/>
      <x:c r="G115" s="20"/>
      <x:c r="H115" s="20"/>
      <x:c r="I115" s="20"/>
      <x:c r="J115" s="20"/>
      <x:c r="K115" s="20"/>
      <x:c r="L115" s="23"/>
      <x:c r="M115" s="23"/>
      <x:c r="N115" s="23"/>
      <x:c r="O115" s="23"/>
      <x:c r="P115" s="20"/>
      <x:c r="Q115" s="20"/>
      <x:c r="R115" s="20"/>
      <x:c r="S115" s="23"/>
      <x:c r="T115" s="20"/>
      <x:c r="U115" s="23"/>
      <x:c r="V115" s="20" t="str">
        <x:f>IF(A115="","",IF(AND(I115="Approved",O115&lt;TODAY()),"YES","NO"))</x:f>
      </x:c>
    </x:row>
    <x:row r="116">
      <x:c r="A116" s="20"/>
      <x:c r="B116" s="20"/>
      <x:c r="C116" s="20"/>
      <x:c r="D116" s="20"/>
      <x:c r="E116" s="20"/>
      <x:c r="F116" s="20"/>
      <x:c r="G116" s="20"/>
      <x:c r="H116" s="20"/>
      <x:c r="I116" s="20"/>
      <x:c r="J116" s="20"/>
      <x:c r="K116" s="20"/>
      <x:c r="L116" s="23"/>
      <x:c r="M116" s="23"/>
      <x:c r="N116" s="23"/>
      <x:c r="O116" s="23"/>
      <x:c r="P116" s="20"/>
      <x:c r="Q116" s="20"/>
      <x:c r="R116" s="20"/>
      <x:c r="S116" s="23"/>
      <x:c r="T116" s="20"/>
      <x:c r="U116" s="23"/>
      <x:c r="V116" s="20" t="str">
        <x:f>IF(A116="","",IF(AND(I116="Approved",O116&lt;TODAY()),"YES","NO"))</x:f>
      </x:c>
    </x:row>
    <x:row r="117">
      <x:c r="A117" s="20"/>
      <x:c r="B117" s="20"/>
      <x:c r="C117" s="20"/>
      <x:c r="D117" s="20"/>
      <x:c r="E117" s="20"/>
      <x:c r="F117" s="20"/>
      <x:c r="G117" s="20"/>
      <x:c r="H117" s="20"/>
      <x:c r="I117" s="20"/>
      <x:c r="J117" s="20"/>
      <x:c r="K117" s="20"/>
      <x:c r="L117" s="23"/>
      <x:c r="M117" s="23"/>
      <x:c r="N117" s="23"/>
      <x:c r="O117" s="23"/>
      <x:c r="P117" s="20"/>
      <x:c r="Q117" s="20"/>
      <x:c r="R117" s="20"/>
      <x:c r="S117" s="23"/>
      <x:c r="T117" s="20"/>
      <x:c r="U117" s="23"/>
      <x:c r="V117" s="20" t="str">
        <x:f>IF(A117="","",IF(AND(I117="Approved",O117&lt;TODAY()),"YES","NO"))</x:f>
      </x:c>
    </x:row>
    <x:row r="118">
      <x:c r="A118" s="20"/>
      <x:c r="B118" s="20"/>
      <x:c r="C118" s="20"/>
      <x:c r="D118" s="20"/>
      <x:c r="E118" s="20"/>
      <x:c r="F118" s="20"/>
      <x:c r="G118" s="20"/>
      <x:c r="H118" s="20"/>
      <x:c r="I118" s="20"/>
      <x:c r="J118" s="20"/>
      <x:c r="K118" s="20"/>
      <x:c r="L118" s="23"/>
      <x:c r="M118" s="23"/>
      <x:c r="N118" s="23"/>
      <x:c r="O118" s="23"/>
      <x:c r="P118" s="20"/>
      <x:c r="Q118" s="20"/>
      <x:c r="R118" s="20"/>
      <x:c r="S118" s="23"/>
      <x:c r="T118" s="20"/>
      <x:c r="U118" s="23"/>
      <x:c r="V118" s="20" t="str">
        <x:f>IF(A118="","",IF(AND(I118="Approved",O118&lt;TODAY()),"YES","NO"))</x:f>
      </x:c>
    </x:row>
    <x:row r="119">
      <x:c r="A119" s="20"/>
      <x:c r="B119" s="20"/>
      <x:c r="C119" s="20"/>
      <x:c r="D119" s="20"/>
      <x:c r="E119" s="20"/>
      <x:c r="F119" s="20"/>
      <x:c r="G119" s="20"/>
      <x:c r="H119" s="20"/>
      <x:c r="I119" s="20"/>
      <x:c r="J119" s="20"/>
      <x:c r="K119" s="20"/>
      <x:c r="L119" s="23"/>
      <x:c r="M119" s="23"/>
      <x:c r="N119" s="23"/>
      <x:c r="O119" s="23"/>
      <x:c r="P119" s="20"/>
      <x:c r="Q119" s="20"/>
      <x:c r="R119" s="20"/>
      <x:c r="S119" s="23"/>
      <x:c r="T119" s="20"/>
      <x:c r="U119" s="23"/>
      <x:c r="V119" s="20" t="str">
        <x:f>IF(A119="","",IF(AND(I119="Approved",O119&lt;TODAY()),"YES","NO"))</x:f>
      </x:c>
    </x:row>
    <x:row r="120">
      <x:c r="A120" s="20"/>
      <x:c r="B120" s="20"/>
      <x:c r="C120" s="20"/>
      <x:c r="D120" s="20"/>
      <x:c r="E120" s="20"/>
      <x:c r="F120" s="20"/>
      <x:c r="G120" s="20"/>
      <x:c r="H120" s="20"/>
      <x:c r="I120" s="20"/>
      <x:c r="J120" s="20"/>
      <x:c r="K120" s="20"/>
      <x:c r="L120" s="23"/>
      <x:c r="M120" s="23"/>
      <x:c r="N120" s="23"/>
      <x:c r="O120" s="23"/>
      <x:c r="P120" s="20"/>
      <x:c r="Q120" s="20"/>
      <x:c r="R120" s="20"/>
      <x:c r="S120" s="23"/>
      <x:c r="T120" s="20"/>
      <x:c r="U120" s="23"/>
      <x:c r="V120" s="20" t="str">
        <x:f>IF(A120="","",IF(AND(I120="Approved",O120&lt;TODAY()),"YES","NO"))</x:f>
      </x:c>
    </x:row>
    <x:row r="121">
      <x:c r="A121" s="20"/>
      <x:c r="B121" s="20"/>
      <x:c r="C121" s="20"/>
      <x:c r="D121" s="20"/>
      <x:c r="E121" s="20"/>
      <x:c r="F121" s="20"/>
      <x:c r="G121" s="20"/>
      <x:c r="H121" s="20"/>
      <x:c r="I121" s="20"/>
      <x:c r="J121" s="20"/>
      <x:c r="K121" s="20"/>
      <x:c r="L121" s="23"/>
      <x:c r="M121" s="23"/>
      <x:c r="N121" s="23"/>
      <x:c r="O121" s="23"/>
      <x:c r="P121" s="20"/>
      <x:c r="Q121" s="20"/>
      <x:c r="R121" s="20"/>
      <x:c r="S121" s="23"/>
      <x:c r="T121" s="20"/>
      <x:c r="U121" s="23"/>
      <x:c r="V121" s="20" t="str">
        <x:f>IF(A121="","",IF(AND(I121="Approved",O121&lt;TODAY()),"YES","NO"))</x:f>
      </x:c>
    </x:row>
    <x:row r="122">
      <x:c r="A122" s="20"/>
      <x:c r="B122" s="20"/>
      <x:c r="C122" s="20"/>
      <x:c r="D122" s="20"/>
      <x:c r="E122" s="20"/>
      <x:c r="F122" s="20"/>
      <x:c r="G122" s="20"/>
      <x:c r="H122" s="20"/>
      <x:c r="I122" s="20"/>
      <x:c r="J122" s="20"/>
      <x:c r="K122" s="20"/>
      <x:c r="L122" s="23"/>
      <x:c r="M122" s="23"/>
      <x:c r="N122" s="23"/>
      <x:c r="O122" s="23"/>
      <x:c r="P122" s="20"/>
      <x:c r="Q122" s="20"/>
      <x:c r="R122" s="20"/>
      <x:c r="S122" s="23"/>
      <x:c r="T122" s="20"/>
      <x:c r="U122" s="23"/>
      <x:c r="V122" s="20" t="str">
        <x:f>IF(A122="","",IF(AND(I122="Approved",O122&lt;TODAY()),"YES","NO"))</x:f>
      </x:c>
    </x:row>
    <x:row r="123">
      <x:c r="A123" s="20"/>
      <x:c r="B123" s="20"/>
      <x:c r="C123" s="20"/>
      <x:c r="D123" s="20"/>
      <x:c r="E123" s="20"/>
      <x:c r="F123" s="20"/>
      <x:c r="G123" s="20"/>
      <x:c r="H123" s="20"/>
      <x:c r="I123" s="20"/>
      <x:c r="J123" s="20"/>
      <x:c r="K123" s="20"/>
      <x:c r="L123" s="23"/>
      <x:c r="M123" s="23"/>
      <x:c r="N123" s="23"/>
      <x:c r="O123" s="23"/>
      <x:c r="P123" s="20"/>
      <x:c r="Q123" s="20"/>
      <x:c r="R123" s="20"/>
      <x:c r="S123" s="23"/>
      <x:c r="T123" s="20"/>
      <x:c r="U123" s="23"/>
      <x:c r="V123" s="20" t="str">
        <x:f>IF(A123="","",IF(AND(I123="Approved",O123&lt;TODAY()),"YES","NO"))</x:f>
      </x:c>
    </x:row>
    <x:row r="124">
      <x:c r="A124" s="20"/>
      <x:c r="B124" s="20"/>
      <x:c r="C124" s="20"/>
      <x:c r="D124" s="20"/>
      <x:c r="E124" s="20"/>
      <x:c r="F124" s="20"/>
      <x:c r="G124" s="20"/>
      <x:c r="H124" s="20"/>
      <x:c r="I124" s="20"/>
      <x:c r="J124" s="20"/>
      <x:c r="K124" s="20"/>
      <x:c r="L124" s="23"/>
      <x:c r="M124" s="23"/>
      <x:c r="N124" s="23"/>
      <x:c r="O124" s="23"/>
      <x:c r="P124" s="20"/>
      <x:c r="Q124" s="20"/>
      <x:c r="R124" s="20"/>
      <x:c r="S124" s="23"/>
      <x:c r="T124" s="20"/>
      <x:c r="U124" s="23"/>
      <x:c r="V124" s="20" t="str">
        <x:f>IF(A124="","",IF(AND(I124="Approved",O124&lt;TODAY()),"YES","NO"))</x:f>
      </x:c>
    </x:row>
    <x:row r="125">
      <x:c r="A125" s="20"/>
      <x:c r="B125" s="20"/>
      <x:c r="C125" s="20"/>
      <x:c r="D125" s="20"/>
      <x:c r="E125" s="20"/>
      <x:c r="F125" s="20"/>
      <x:c r="G125" s="20"/>
      <x:c r="H125" s="20"/>
      <x:c r="I125" s="20"/>
      <x:c r="J125" s="20"/>
      <x:c r="K125" s="20"/>
      <x:c r="L125" s="23"/>
      <x:c r="M125" s="23"/>
      <x:c r="N125" s="23"/>
      <x:c r="O125" s="23"/>
      <x:c r="P125" s="20"/>
      <x:c r="Q125" s="20"/>
      <x:c r="R125" s="20"/>
      <x:c r="S125" s="23"/>
      <x:c r="T125" s="20"/>
      <x:c r="U125" s="23"/>
      <x:c r="V125" s="20" t="str">
        <x:f>IF(A125="","",IF(AND(I125="Approved",O125&lt;TODAY()),"YES","NO"))</x:f>
      </x:c>
    </x:row>
    <x:row r="126">
      <x:c r="A126" s="20"/>
      <x:c r="B126" s="20"/>
      <x:c r="C126" s="20"/>
      <x:c r="D126" s="20"/>
      <x:c r="E126" s="20"/>
      <x:c r="F126" s="20"/>
      <x:c r="G126" s="20"/>
      <x:c r="H126" s="20"/>
      <x:c r="I126" s="20"/>
      <x:c r="J126" s="20"/>
      <x:c r="K126" s="20"/>
      <x:c r="L126" s="23"/>
      <x:c r="M126" s="23"/>
      <x:c r="N126" s="23"/>
      <x:c r="O126" s="23"/>
      <x:c r="P126" s="20"/>
      <x:c r="Q126" s="20"/>
      <x:c r="R126" s="20"/>
      <x:c r="S126" s="23"/>
      <x:c r="T126" s="20"/>
      <x:c r="U126" s="23"/>
      <x:c r="V126" s="20" t="str">
        <x:f>IF(A126="","",IF(AND(I126="Approved",O126&lt;TODAY()),"YES","NO"))</x:f>
      </x:c>
    </x:row>
    <x:row r="127">
      <x:c r="A127" s="20"/>
      <x:c r="B127" s="20"/>
      <x:c r="C127" s="20"/>
      <x:c r="D127" s="20"/>
      <x:c r="E127" s="20"/>
      <x:c r="F127" s="20"/>
      <x:c r="G127" s="20"/>
      <x:c r="H127" s="20"/>
      <x:c r="I127" s="20"/>
      <x:c r="J127" s="20"/>
      <x:c r="K127" s="20"/>
      <x:c r="L127" s="23"/>
      <x:c r="M127" s="23"/>
      <x:c r="N127" s="23"/>
      <x:c r="O127" s="23"/>
      <x:c r="P127" s="20"/>
      <x:c r="Q127" s="20"/>
      <x:c r="R127" s="20"/>
      <x:c r="S127" s="23"/>
      <x:c r="T127" s="20"/>
      <x:c r="U127" s="23"/>
      <x:c r="V127" s="20" t="str">
        <x:f>IF(A127="","",IF(AND(I127="Approved",O127&lt;TODAY()),"YES","NO"))</x:f>
      </x:c>
    </x:row>
    <x:row r="128">
      <x:c r="A128" s="20"/>
      <x:c r="B128" s="20"/>
      <x:c r="C128" s="20"/>
      <x:c r="D128" s="20"/>
      <x:c r="E128" s="20"/>
      <x:c r="F128" s="20"/>
      <x:c r="G128" s="20"/>
      <x:c r="H128" s="20"/>
      <x:c r="I128" s="20"/>
      <x:c r="J128" s="20"/>
      <x:c r="K128" s="20"/>
      <x:c r="L128" s="23"/>
      <x:c r="M128" s="23"/>
      <x:c r="N128" s="23"/>
      <x:c r="O128" s="23"/>
      <x:c r="P128" s="20"/>
      <x:c r="Q128" s="20"/>
      <x:c r="R128" s="20"/>
      <x:c r="S128" s="23"/>
      <x:c r="T128" s="20"/>
      <x:c r="U128" s="23"/>
      <x:c r="V128" s="20" t="str">
        <x:f>IF(A128="","",IF(AND(I128="Approved",O128&lt;TODAY()),"YES","NO"))</x:f>
      </x:c>
    </x:row>
    <x:row r="129">
      <x:c r="A129" s="20"/>
      <x:c r="B129" s="20"/>
      <x:c r="C129" s="20"/>
      <x:c r="D129" s="20"/>
      <x:c r="E129" s="20"/>
      <x:c r="F129" s="20"/>
      <x:c r="G129" s="20"/>
      <x:c r="H129" s="20"/>
      <x:c r="I129" s="20"/>
      <x:c r="J129" s="20"/>
      <x:c r="K129" s="20"/>
      <x:c r="L129" s="23"/>
      <x:c r="M129" s="23"/>
      <x:c r="N129" s="23"/>
      <x:c r="O129" s="23"/>
      <x:c r="P129" s="20"/>
      <x:c r="Q129" s="20"/>
      <x:c r="R129" s="20"/>
      <x:c r="S129" s="23"/>
      <x:c r="T129" s="20"/>
      <x:c r="U129" s="23"/>
      <x:c r="V129" s="20" t="str">
        <x:f>IF(A129="","",IF(AND(I129="Approved",O129&lt;TODAY()),"YES","NO"))</x:f>
      </x:c>
    </x:row>
    <x:row r="130">
      <x:c r="A130" s="20"/>
      <x:c r="B130" s="20"/>
      <x:c r="C130" s="20"/>
      <x:c r="D130" s="20"/>
      <x:c r="E130" s="20"/>
      <x:c r="F130" s="20"/>
      <x:c r="G130" s="20"/>
      <x:c r="H130" s="20"/>
      <x:c r="I130" s="20"/>
      <x:c r="J130" s="20"/>
      <x:c r="K130" s="20"/>
      <x:c r="L130" s="23"/>
      <x:c r="M130" s="23"/>
      <x:c r="N130" s="23"/>
      <x:c r="O130" s="23"/>
      <x:c r="P130" s="20"/>
      <x:c r="Q130" s="20"/>
      <x:c r="R130" s="20"/>
      <x:c r="S130" s="23"/>
      <x:c r="T130" s="20"/>
      <x:c r="U130" s="23"/>
      <x:c r="V130" s="20" t="str">
        <x:f>IF(A130="","",IF(AND(I130="Approved",O130&lt;TODAY()),"YES","NO"))</x:f>
      </x:c>
    </x:row>
    <x:row r="131">
      <x:c r="A131" s="20"/>
      <x:c r="B131" s="20"/>
      <x:c r="C131" s="20"/>
      <x:c r="D131" s="20"/>
      <x:c r="E131" s="20"/>
      <x:c r="F131" s="20"/>
      <x:c r="G131" s="20"/>
      <x:c r="H131" s="20"/>
      <x:c r="I131" s="20"/>
      <x:c r="J131" s="20"/>
      <x:c r="K131" s="20"/>
      <x:c r="L131" s="23"/>
      <x:c r="M131" s="23"/>
      <x:c r="N131" s="23"/>
      <x:c r="O131" s="23"/>
      <x:c r="P131" s="20"/>
      <x:c r="Q131" s="20"/>
      <x:c r="R131" s="20"/>
      <x:c r="S131" s="23"/>
      <x:c r="T131" s="20"/>
      <x:c r="U131" s="23"/>
      <x:c r="V131" s="20" t="str">
        <x:f>IF(A131="","",IF(AND(I131="Approved",O131&lt;TODAY()),"YES","NO"))</x:f>
      </x:c>
    </x:row>
    <x:row r="132">
      <x:c r="A132" s="20"/>
      <x:c r="B132" s="20"/>
      <x:c r="C132" s="20"/>
      <x:c r="D132" s="20"/>
      <x:c r="E132" s="20"/>
      <x:c r="F132" s="20"/>
      <x:c r="G132" s="20"/>
      <x:c r="H132" s="20"/>
      <x:c r="I132" s="20"/>
      <x:c r="J132" s="20"/>
      <x:c r="K132" s="20"/>
      <x:c r="L132" s="23"/>
      <x:c r="M132" s="23"/>
      <x:c r="N132" s="23"/>
      <x:c r="O132" s="23"/>
      <x:c r="P132" s="20"/>
      <x:c r="Q132" s="20"/>
      <x:c r="R132" s="20"/>
      <x:c r="S132" s="23"/>
      <x:c r="T132" s="20"/>
      <x:c r="U132" s="23"/>
      <x:c r="V132" s="20" t="str">
        <x:f>IF(A132="","",IF(AND(I132="Approved",O132&lt;TODAY()),"YES","NO"))</x:f>
      </x:c>
    </x:row>
    <x:row r="133">
      <x:c r="A133" s="20"/>
      <x:c r="B133" s="20"/>
      <x:c r="C133" s="20"/>
      <x:c r="D133" s="20"/>
      <x:c r="E133" s="20"/>
      <x:c r="F133" s="20"/>
      <x:c r="G133" s="20"/>
      <x:c r="H133" s="20"/>
      <x:c r="I133" s="20"/>
      <x:c r="J133" s="20"/>
      <x:c r="K133" s="20"/>
      <x:c r="L133" s="23"/>
      <x:c r="M133" s="23"/>
      <x:c r="N133" s="23"/>
      <x:c r="O133" s="23"/>
      <x:c r="P133" s="20"/>
      <x:c r="Q133" s="20"/>
      <x:c r="R133" s="20"/>
      <x:c r="S133" s="23"/>
      <x:c r="T133" s="20"/>
      <x:c r="U133" s="23"/>
      <x:c r="V133" s="20" t="str">
        <x:f>IF(A133="","",IF(AND(I133="Approved",O133&lt;TODAY()),"YES","NO"))</x:f>
      </x:c>
    </x:row>
    <x:row r="134">
      <x:c r="A134" s="20"/>
      <x:c r="B134" s="20"/>
      <x:c r="C134" s="20"/>
      <x:c r="D134" s="20"/>
      <x:c r="E134" s="20"/>
      <x:c r="F134" s="20"/>
      <x:c r="G134" s="20"/>
      <x:c r="H134" s="20"/>
      <x:c r="I134" s="20"/>
      <x:c r="J134" s="20"/>
      <x:c r="K134" s="20"/>
      <x:c r="L134" s="23"/>
      <x:c r="M134" s="23"/>
      <x:c r="N134" s="23"/>
      <x:c r="O134" s="23"/>
      <x:c r="P134" s="20"/>
      <x:c r="Q134" s="20"/>
      <x:c r="R134" s="20"/>
      <x:c r="S134" s="23"/>
      <x:c r="T134" s="20"/>
      <x:c r="U134" s="23"/>
      <x:c r="V134" s="20" t="str">
        <x:f>IF(A134="","",IF(AND(I134="Approved",O134&lt;TODAY()),"YES","NO"))</x:f>
      </x:c>
    </x:row>
    <x:row r="135">
      <x:c r="A135" s="20"/>
      <x:c r="B135" s="20"/>
      <x:c r="C135" s="20"/>
      <x:c r="D135" s="20"/>
      <x:c r="E135" s="20"/>
      <x:c r="F135" s="20"/>
      <x:c r="G135" s="20"/>
      <x:c r="H135" s="20"/>
      <x:c r="I135" s="20"/>
      <x:c r="J135" s="20"/>
      <x:c r="K135" s="20"/>
      <x:c r="L135" s="23"/>
      <x:c r="M135" s="23"/>
      <x:c r="N135" s="23"/>
      <x:c r="O135" s="23"/>
      <x:c r="P135" s="20"/>
      <x:c r="Q135" s="20"/>
      <x:c r="R135" s="20"/>
      <x:c r="S135" s="23"/>
      <x:c r="T135" s="20"/>
      <x:c r="U135" s="23"/>
      <x:c r="V135" s="20" t="str">
        <x:f>IF(A135="","",IF(AND(I135="Approved",O135&lt;TODAY()),"YES","NO"))</x:f>
      </x:c>
    </x:row>
    <x:row r="136">
      <x:c r="A136" s="20"/>
      <x:c r="B136" s="20"/>
      <x:c r="C136" s="20"/>
      <x:c r="D136" s="20"/>
      <x:c r="E136" s="20"/>
      <x:c r="F136" s="20"/>
      <x:c r="G136" s="20"/>
      <x:c r="H136" s="20"/>
      <x:c r="I136" s="20"/>
      <x:c r="J136" s="20"/>
      <x:c r="K136" s="20"/>
      <x:c r="L136" s="23"/>
      <x:c r="M136" s="23"/>
      <x:c r="N136" s="23"/>
      <x:c r="O136" s="23"/>
      <x:c r="P136" s="20"/>
      <x:c r="Q136" s="20"/>
      <x:c r="R136" s="20"/>
      <x:c r="S136" s="23"/>
      <x:c r="T136" s="20"/>
      <x:c r="U136" s="23"/>
      <x:c r="V136" s="20" t="str">
        <x:f>IF(A136="","",IF(AND(I136="Approved",O136&lt;TODAY()),"YES","NO"))</x:f>
      </x:c>
    </x:row>
    <x:row r="137">
      <x:c r="A137" s="20"/>
      <x:c r="B137" s="20"/>
      <x:c r="C137" s="20"/>
      <x:c r="D137" s="20"/>
      <x:c r="E137" s="20"/>
      <x:c r="F137" s="20"/>
      <x:c r="G137" s="20"/>
      <x:c r="H137" s="20"/>
      <x:c r="I137" s="20"/>
      <x:c r="J137" s="20"/>
      <x:c r="K137" s="20"/>
      <x:c r="L137" s="23"/>
      <x:c r="M137" s="23"/>
      <x:c r="N137" s="23"/>
      <x:c r="O137" s="23"/>
      <x:c r="P137" s="20"/>
      <x:c r="Q137" s="20"/>
      <x:c r="R137" s="20"/>
      <x:c r="S137" s="23"/>
      <x:c r="T137" s="20"/>
      <x:c r="U137" s="23"/>
      <x:c r="V137" s="20" t="str">
        <x:f>IF(A137="","",IF(AND(I137="Approved",O137&lt;TODAY()),"YES","NO"))</x:f>
      </x:c>
    </x:row>
    <x:row r="138">
      <x:c r="A138" s="20"/>
      <x:c r="B138" s="20"/>
      <x:c r="C138" s="20"/>
      <x:c r="D138" s="20"/>
      <x:c r="E138" s="20"/>
      <x:c r="F138" s="20"/>
      <x:c r="G138" s="20"/>
      <x:c r="H138" s="20"/>
      <x:c r="I138" s="20"/>
      <x:c r="J138" s="20"/>
      <x:c r="K138" s="20"/>
      <x:c r="L138" s="23"/>
      <x:c r="M138" s="23"/>
      <x:c r="N138" s="23"/>
      <x:c r="O138" s="23"/>
      <x:c r="P138" s="20"/>
      <x:c r="Q138" s="20"/>
      <x:c r="R138" s="20"/>
      <x:c r="S138" s="23"/>
      <x:c r="T138" s="20"/>
      <x:c r="U138" s="23"/>
      <x:c r="V138" s="20" t="str">
        <x:f>IF(A138="","",IF(AND(I138="Approved",O138&lt;TODAY()),"YES","NO"))</x:f>
      </x:c>
    </x:row>
    <x:row r="139">
      <x:c r="A139" s="20"/>
      <x:c r="B139" s="20"/>
      <x:c r="C139" s="20"/>
      <x:c r="D139" s="20"/>
      <x:c r="E139" s="20"/>
      <x:c r="F139" s="20"/>
      <x:c r="G139" s="20"/>
      <x:c r="H139" s="20"/>
      <x:c r="I139" s="20"/>
      <x:c r="J139" s="20"/>
      <x:c r="K139" s="20"/>
      <x:c r="L139" s="23"/>
      <x:c r="M139" s="23"/>
      <x:c r="N139" s="23"/>
      <x:c r="O139" s="23"/>
      <x:c r="P139" s="20"/>
      <x:c r="Q139" s="20"/>
      <x:c r="R139" s="20"/>
      <x:c r="S139" s="23"/>
      <x:c r="T139" s="20"/>
      <x:c r="U139" s="23"/>
      <x:c r="V139" s="20" t="str">
        <x:f>IF(A139="","",IF(AND(I139="Approved",O139&lt;TODAY()),"YES","NO"))</x:f>
      </x:c>
    </x:row>
    <x:row r="140">
      <x:c r="A140" s="20"/>
      <x:c r="B140" s="20"/>
      <x:c r="C140" s="20"/>
      <x:c r="D140" s="20"/>
      <x:c r="E140" s="20"/>
      <x:c r="F140" s="20"/>
      <x:c r="G140" s="20"/>
      <x:c r="H140" s="20"/>
      <x:c r="I140" s="20"/>
      <x:c r="J140" s="20"/>
      <x:c r="K140" s="20"/>
      <x:c r="L140" s="23"/>
      <x:c r="M140" s="23"/>
      <x:c r="N140" s="23"/>
      <x:c r="O140" s="23"/>
      <x:c r="P140" s="20"/>
      <x:c r="Q140" s="20"/>
      <x:c r="R140" s="20"/>
      <x:c r="S140" s="23"/>
      <x:c r="T140" s="20"/>
      <x:c r="U140" s="23"/>
      <x:c r="V140" s="20" t="str">
        <x:f>IF(A140="","",IF(AND(I140="Approved",O140&lt;TODAY()),"YES","NO"))</x:f>
      </x:c>
    </x:row>
    <x:row r="141">
      <x:c r="A141" s="20"/>
      <x:c r="B141" s="20"/>
      <x:c r="C141" s="20"/>
      <x:c r="D141" s="20"/>
      <x:c r="E141" s="20"/>
      <x:c r="F141" s="20"/>
      <x:c r="G141" s="20"/>
      <x:c r="H141" s="20"/>
      <x:c r="I141" s="20"/>
      <x:c r="J141" s="20"/>
      <x:c r="K141" s="20"/>
      <x:c r="L141" s="23"/>
      <x:c r="M141" s="23"/>
      <x:c r="N141" s="23"/>
      <x:c r="O141" s="23"/>
      <x:c r="P141" s="20"/>
      <x:c r="Q141" s="20"/>
      <x:c r="R141" s="20"/>
      <x:c r="S141" s="23"/>
      <x:c r="T141" s="20"/>
      <x:c r="U141" s="23"/>
      <x:c r="V141" s="20" t="str">
        <x:f>IF(A141="","",IF(AND(I141="Approved",O141&lt;TODAY()),"YES","NO"))</x:f>
      </x:c>
    </x:row>
    <x:row r="142">
      <x:c r="A142" s="20"/>
      <x:c r="B142" s="20"/>
      <x:c r="C142" s="20"/>
      <x:c r="D142" s="20"/>
      <x:c r="E142" s="20"/>
      <x:c r="F142" s="20"/>
      <x:c r="G142" s="20"/>
      <x:c r="H142" s="20"/>
      <x:c r="I142" s="20"/>
      <x:c r="J142" s="20"/>
      <x:c r="K142" s="20"/>
      <x:c r="L142" s="23"/>
      <x:c r="M142" s="23"/>
      <x:c r="N142" s="23"/>
      <x:c r="O142" s="23"/>
      <x:c r="P142" s="20"/>
      <x:c r="Q142" s="20"/>
      <x:c r="R142" s="20"/>
      <x:c r="S142" s="23"/>
      <x:c r="T142" s="20"/>
      <x:c r="U142" s="23"/>
      <x:c r="V142" s="20" t="str">
        <x:f>IF(A142="","",IF(AND(I142="Approved",O142&lt;TODAY()),"YES","NO"))</x:f>
      </x:c>
    </x:row>
    <x:row r="143">
      <x:c r="A143" s="20"/>
      <x:c r="B143" s="20"/>
      <x:c r="C143" s="20"/>
      <x:c r="D143" s="20"/>
      <x:c r="E143" s="20"/>
      <x:c r="F143" s="20"/>
      <x:c r="G143" s="20"/>
      <x:c r="H143" s="20"/>
      <x:c r="I143" s="20"/>
      <x:c r="J143" s="20"/>
      <x:c r="K143" s="20"/>
      <x:c r="L143" s="23"/>
      <x:c r="M143" s="23"/>
      <x:c r="N143" s="23"/>
      <x:c r="O143" s="23"/>
      <x:c r="P143" s="20"/>
      <x:c r="Q143" s="20"/>
      <x:c r="R143" s="20"/>
      <x:c r="S143" s="23"/>
      <x:c r="T143" s="20"/>
      <x:c r="U143" s="23"/>
      <x:c r="V143" s="20" t="str">
        <x:f>IF(A143="","",IF(AND(I143="Approved",O143&lt;TODAY()),"YES","NO"))</x:f>
      </x:c>
    </x:row>
    <x:row r="144">
      <x:c r="A144" s="20"/>
      <x:c r="B144" s="20"/>
      <x:c r="C144" s="20"/>
      <x:c r="D144" s="20"/>
      <x:c r="E144" s="20"/>
      <x:c r="F144" s="20"/>
      <x:c r="G144" s="20"/>
      <x:c r="H144" s="20"/>
      <x:c r="I144" s="20"/>
      <x:c r="J144" s="20"/>
      <x:c r="K144" s="20"/>
      <x:c r="L144" s="23"/>
      <x:c r="M144" s="23"/>
      <x:c r="N144" s="23"/>
      <x:c r="O144" s="23"/>
      <x:c r="P144" s="20"/>
      <x:c r="Q144" s="20"/>
      <x:c r="R144" s="20"/>
      <x:c r="S144" s="23"/>
      <x:c r="T144" s="20"/>
      <x:c r="U144" s="23"/>
      <x:c r="V144" s="20" t="str">
        <x:f>IF(A144="","",IF(AND(I144="Approved",O144&lt;TODAY()),"YES","NO"))</x:f>
      </x:c>
    </x:row>
    <x:row r="145">
      <x:c r="A145" s="20"/>
      <x:c r="B145" s="20"/>
      <x:c r="C145" s="20"/>
      <x:c r="D145" s="20"/>
      <x:c r="E145" s="20"/>
      <x:c r="F145" s="20"/>
      <x:c r="G145" s="20"/>
      <x:c r="H145" s="20"/>
      <x:c r="I145" s="20"/>
      <x:c r="J145" s="20"/>
      <x:c r="K145" s="20"/>
      <x:c r="L145" s="23"/>
      <x:c r="M145" s="23"/>
      <x:c r="N145" s="23"/>
      <x:c r="O145" s="23"/>
      <x:c r="P145" s="20"/>
      <x:c r="Q145" s="20"/>
      <x:c r="R145" s="20"/>
      <x:c r="S145" s="23"/>
      <x:c r="T145" s="20"/>
      <x:c r="U145" s="23"/>
      <x:c r="V145" s="20" t="str">
        <x:f>IF(A145="","",IF(AND(I145="Approved",O145&lt;TODAY()),"YES","NO"))</x:f>
      </x:c>
    </x:row>
    <x:row r="146">
      <x:c r="A146" s="20"/>
      <x:c r="B146" s="20"/>
      <x:c r="C146" s="20"/>
      <x:c r="D146" s="20"/>
      <x:c r="E146" s="20"/>
      <x:c r="F146" s="20"/>
      <x:c r="G146" s="20"/>
      <x:c r="H146" s="20"/>
      <x:c r="I146" s="20"/>
      <x:c r="J146" s="20"/>
      <x:c r="K146" s="20"/>
      <x:c r="L146" s="23"/>
      <x:c r="M146" s="23"/>
      <x:c r="N146" s="23"/>
      <x:c r="O146" s="23"/>
      <x:c r="P146" s="20"/>
      <x:c r="Q146" s="20"/>
      <x:c r="R146" s="20"/>
      <x:c r="S146" s="23"/>
      <x:c r="T146" s="20"/>
      <x:c r="U146" s="23"/>
      <x:c r="V146" s="20" t="str">
        <x:f>IF(A146="","",IF(AND(I146="Approved",O146&lt;TODAY()),"YES","NO"))</x:f>
      </x:c>
    </x:row>
    <x:row r="147">
      <x:c r="A147" s="20"/>
      <x:c r="B147" s="20"/>
      <x:c r="C147" s="20"/>
      <x:c r="D147" s="20"/>
      <x:c r="E147" s="20"/>
      <x:c r="F147" s="20"/>
      <x:c r="G147" s="20"/>
      <x:c r="H147" s="20"/>
      <x:c r="I147" s="20"/>
      <x:c r="J147" s="20"/>
      <x:c r="K147" s="20"/>
      <x:c r="L147" s="23"/>
      <x:c r="M147" s="23"/>
      <x:c r="N147" s="23"/>
      <x:c r="O147" s="23"/>
      <x:c r="P147" s="20"/>
      <x:c r="Q147" s="20"/>
      <x:c r="R147" s="20"/>
      <x:c r="S147" s="23"/>
      <x:c r="T147" s="20"/>
      <x:c r="U147" s="23"/>
      <x:c r="V147" s="20" t="str">
        <x:f>IF(A147="","",IF(AND(I147="Approved",O147&lt;TODAY()),"YES","NO"))</x:f>
      </x:c>
    </x:row>
    <x:row r="148">
      <x:c r="A148" s="20"/>
      <x:c r="B148" s="20"/>
      <x:c r="C148" s="20"/>
      <x:c r="D148" s="20"/>
      <x:c r="E148" s="20"/>
      <x:c r="F148" s="20"/>
      <x:c r="G148" s="20"/>
      <x:c r="H148" s="20"/>
      <x:c r="I148" s="20"/>
      <x:c r="J148" s="20"/>
      <x:c r="K148" s="20"/>
      <x:c r="L148" s="23"/>
      <x:c r="M148" s="23"/>
      <x:c r="N148" s="23"/>
      <x:c r="O148" s="23"/>
      <x:c r="P148" s="20"/>
      <x:c r="Q148" s="20"/>
      <x:c r="R148" s="20"/>
      <x:c r="S148" s="23"/>
      <x:c r="T148" s="20"/>
      <x:c r="U148" s="23"/>
      <x:c r="V148" s="20" t="str">
        <x:f>IF(A148="","",IF(AND(I148="Approved",O148&lt;TODAY()),"YES","NO"))</x:f>
      </x:c>
    </x:row>
    <x:row r="149">
      <x:c r="A149" s="20"/>
      <x:c r="B149" s="20"/>
      <x:c r="C149" s="20"/>
      <x:c r="D149" s="20"/>
      <x:c r="E149" s="20"/>
      <x:c r="F149" s="20"/>
      <x:c r="G149" s="20"/>
      <x:c r="H149" s="20"/>
      <x:c r="I149" s="20"/>
      <x:c r="J149" s="20"/>
      <x:c r="K149" s="20"/>
      <x:c r="L149" s="23"/>
      <x:c r="M149" s="23"/>
      <x:c r="N149" s="23"/>
      <x:c r="O149" s="23"/>
      <x:c r="P149" s="20"/>
      <x:c r="Q149" s="20"/>
      <x:c r="R149" s="20"/>
      <x:c r="S149" s="23"/>
      <x:c r="T149" s="20"/>
      <x:c r="U149" s="23"/>
      <x:c r="V149" s="20" t="str">
        <x:f>IF(A149="","",IF(AND(I149="Approved",O149&lt;TODAY()),"YES","NO"))</x:f>
      </x:c>
    </x:row>
    <x:row r="150">
      <x:c r="A150" s="20"/>
      <x:c r="B150" s="20"/>
      <x:c r="C150" s="20"/>
      <x:c r="D150" s="20"/>
      <x:c r="E150" s="20"/>
      <x:c r="F150" s="20"/>
      <x:c r="G150" s="20"/>
      <x:c r="H150" s="20"/>
      <x:c r="I150" s="20"/>
      <x:c r="J150" s="20"/>
      <x:c r="K150" s="20"/>
      <x:c r="L150" s="23"/>
      <x:c r="M150" s="23"/>
      <x:c r="N150" s="23"/>
      <x:c r="O150" s="23"/>
      <x:c r="P150" s="20"/>
      <x:c r="Q150" s="20"/>
      <x:c r="R150" s="20"/>
      <x:c r="S150" s="23"/>
      <x:c r="T150" s="20"/>
      <x:c r="U150" s="23"/>
      <x:c r="V150" s="20" t="str">
        <x:f>IF(A150="","",IF(AND(I150="Approved",O150&lt;TODAY()),"YES","NO"))</x:f>
      </x:c>
    </x:row>
    <x:row r="151">
      <x:c r="A151" s="20"/>
      <x:c r="B151" s="20"/>
      <x:c r="C151" s="20"/>
      <x:c r="D151" s="20"/>
      <x:c r="E151" s="20"/>
      <x:c r="F151" s="20"/>
      <x:c r="G151" s="20"/>
      <x:c r="H151" s="20"/>
      <x:c r="I151" s="20"/>
      <x:c r="J151" s="20"/>
      <x:c r="K151" s="20"/>
      <x:c r="L151" s="23"/>
      <x:c r="M151" s="23"/>
      <x:c r="N151" s="23"/>
      <x:c r="O151" s="23"/>
      <x:c r="P151" s="20"/>
      <x:c r="Q151" s="20"/>
      <x:c r="R151" s="20"/>
      <x:c r="S151" s="23"/>
      <x:c r="T151" s="20"/>
      <x:c r="U151" s="23"/>
      <x:c r="V151" s="20" t="str">
        <x:f>IF(A151="","",IF(AND(I151="Approved",O151&lt;TODAY()),"YES","NO"))</x:f>
      </x:c>
    </x:row>
    <x:row r="152">
      <x:c r="A152" s="20"/>
      <x:c r="B152" s="20"/>
      <x:c r="C152" s="20"/>
      <x:c r="D152" s="20"/>
      <x:c r="E152" s="20"/>
      <x:c r="F152" s="20"/>
      <x:c r="G152" s="20"/>
      <x:c r="H152" s="20"/>
      <x:c r="I152" s="20"/>
      <x:c r="J152" s="20"/>
      <x:c r="K152" s="20"/>
      <x:c r="L152" s="23"/>
      <x:c r="M152" s="23"/>
      <x:c r="N152" s="23"/>
      <x:c r="O152" s="23"/>
      <x:c r="P152" s="20"/>
      <x:c r="Q152" s="20"/>
      <x:c r="R152" s="20"/>
      <x:c r="S152" s="23"/>
      <x:c r="T152" s="20"/>
      <x:c r="U152" s="23"/>
      <x:c r="V152" s="20" t="str">
        <x:f>IF(A152="","",IF(AND(I152="Approved",O152&lt;TODAY()),"YES","NO"))</x:f>
      </x:c>
    </x:row>
    <x:row r="153">
      <x:c r="A153" s="20"/>
      <x:c r="B153" s="20"/>
      <x:c r="C153" s="20"/>
      <x:c r="D153" s="20"/>
      <x:c r="E153" s="20"/>
      <x:c r="F153" s="20"/>
      <x:c r="G153" s="20"/>
      <x:c r="H153" s="20"/>
      <x:c r="I153" s="20"/>
      <x:c r="J153" s="20"/>
      <x:c r="K153" s="20"/>
      <x:c r="L153" s="23"/>
      <x:c r="M153" s="23"/>
      <x:c r="N153" s="23"/>
      <x:c r="O153" s="23"/>
      <x:c r="P153" s="20"/>
      <x:c r="Q153" s="20"/>
      <x:c r="R153" s="20"/>
      <x:c r="S153" s="23"/>
      <x:c r="T153" s="20"/>
      <x:c r="U153" s="23"/>
      <x:c r="V153" s="20" t="str">
        <x:f>IF(A153="","",IF(AND(I153="Approved",O153&lt;TODAY()),"YES","NO"))</x:f>
      </x:c>
    </x:row>
    <x:row r="154">
      <x:c r="A154" s="20"/>
      <x:c r="B154" s="20"/>
      <x:c r="C154" s="20"/>
      <x:c r="D154" s="20"/>
      <x:c r="E154" s="20"/>
      <x:c r="F154" s="20"/>
      <x:c r="G154" s="20"/>
      <x:c r="H154" s="20"/>
      <x:c r="I154" s="20"/>
      <x:c r="J154" s="20"/>
      <x:c r="K154" s="20"/>
      <x:c r="L154" s="23"/>
      <x:c r="M154" s="23"/>
      <x:c r="N154" s="23"/>
      <x:c r="O154" s="23"/>
      <x:c r="P154" s="20"/>
      <x:c r="Q154" s="20"/>
      <x:c r="R154" s="20"/>
      <x:c r="S154" s="23"/>
      <x:c r="T154" s="20"/>
      <x:c r="U154" s="23"/>
      <x:c r="V154" s="20" t="str">
        <x:f>IF(A154="","",IF(AND(I154="Approved",O154&lt;TODAY()),"YES","NO"))</x:f>
      </x:c>
    </x:row>
    <x:row r="155">
      <x:c r="A155" s="20"/>
      <x:c r="B155" s="20"/>
      <x:c r="C155" s="20"/>
      <x:c r="D155" s="20"/>
      <x:c r="E155" s="20"/>
      <x:c r="F155" s="20"/>
      <x:c r="G155" s="20"/>
      <x:c r="H155" s="20"/>
      <x:c r="I155" s="20"/>
      <x:c r="J155" s="20"/>
      <x:c r="K155" s="20"/>
      <x:c r="L155" s="23"/>
      <x:c r="M155" s="23"/>
      <x:c r="N155" s="23"/>
      <x:c r="O155" s="23"/>
      <x:c r="P155" s="20"/>
      <x:c r="Q155" s="20"/>
      <x:c r="R155" s="20"/>
      <x:c r="S155" s="23"/>
      <x:c r="T155" s="20"/>
      <x:c r="U155" s="23"/>
      <x:c r="V155" s="20" t="str">
        <x:f>IF(A155="","",IF(AND(I155="Approved",O155&lt;TODAY()),"YES","NO"))</x:f>
      </x:c>
    </x:row>
    <x:row r="156">
      <x:c r="A156" s="20"/>
      <x:c r="B156" s="20"/>
      <x:c r="C156" s="20"/>
      <x:c r="D156" s="20"/>
      <x:c r="E156" s="20"/>
      <x:c r="F156" s="20"/>
      <x:c r="G156" s="20"/>
      <x:c r="H156" s="20"/>
      <x:c r="I156" s="20"/>
      <x:c r="J156" s="20"/>
      <x:c r="K156" s="20"/>
      <x:c r="L156" s="23"/>
      <x:c r="M156" s="23"/>
      <x:c r="N156" s="23"/>
      <x:c r="O156" s="23"/>
      <x:c r="P156" s="20"/>
      <x:c r="Q156" s="20"/>
      <x:c r="R156" s="20"/>
      <x:c r="S156" s="23"/>
      <x:c r="T156" s="20"/>
      <x:c r="U156" s="23"/>
      <x:c r="V156" s="20" t="str">
        <x:f>IF(A156="","",IF(AND(I156="Approved",O156&lt;TODAY()),"YES","NO"))</x:f>
      </x:c>
    </x:row>
    <x:row r="157">
      <x:c r="A157" s="20"/>
      <x:c r="B157" s="20"/>
      <x:c r="C157" s="20"/>
      <x:c r="D157" s="20"/>
      <x:c r="E157" s="20"/>
      <x:c r="F157" s="20"/>
      <x:c r="G157" s="20"/>
      <x:c r="H157" s="20"/>
      <x:c r="I157" s="20"/>
      <x:c r="J157" s="20"/>
      <x:c r="K157" s="20"/>
      <x:c r="L157" s="23"/>
      <x:c r="M157" s="23"/>
      <x:c r="N157" s="23"/>
      <x:c r="O157" s="23"/>
      <x:c r="P157" s="20"/>
      <x:c r="Q157" s="20"/>
      <x:c r="R157" s="20"/>
      <x:c r="S157" s="23"/>
      <x:c r="T157" s="20"/>
      <x:c r="U157" s="23"/>
      <x:c r="V157" s="20" t="str">
        <x:f>IF(A157="","",IF(AND(I157="Approved",O157&lt;TODAY()),"YES","NO"))</x:f>
      </x:c>
    </x:row>
    <x:row r="158">
      <x:c r="A158" s="20"/>
      <x:c r="B158" s="20"/>
      <x:c r="C158" s="20"/>
      <x:c r="D158" s="20"/>
      <x:c r="E158" s="20"/>
      <x:c r="F158" s="20"/>
      <x:c r="G158" s="20"/>
      <x:c r="H158" s="20"/>
      <x:c r="I158" s="20"/>
      <x:c r="J158" s="20"/>
      <x:c r="K158" s="20"/>
      <x:c r="L158" s="23"/>
      <x:c r="M158" s="23"/>
      <x:c r="N158" s="23"/>
      <x:c r="O158" s="23"/>
      <x:c r="P158" s="20"/>
      <x:c r="Q158" s="20"/>
      <x:c r="R158" s="20"/>
      <x:c r="S158" s="23"/>
      <x:c r="T158" s="20"/>
      <x:c r="U158" s="23"/>
      <x:c r="V158" s="20" t="str">
        <x:f>IF(A158="","",IF(AND(I158="Approved",O158&lt;TODAY()),"YES","NO"))</x:f>
      </x:c>
    </x:row>
    <x:row r="159">
      <x:c r="A159" s="20"/>
      <x:c r="B159" s="20"/>
      <x:c r="C159" s="20"/>
      <x:c r="D159" s="20"/>
      <x:c r="E159" s="20"/>
      <x:c r="F159" s="20"/>
      <x:c r="G159" s="20"/>
      <x:c r="H159" s="20"/>
      <x:c r="I159" s="20"/>
      <x:c r="J159" s="20"/>
      <x:c r="K159" s="20"/>
      <x:c r="L159" s="23"/>
      <x:c r="M159" s="23"/>
      <x:c r="N159" s="23"/>
      <x:c r="O159" s="23"/>
      <x:c r="P159" s="20"/>
      <x:c r="Q159" s="20"/>
      <x:c r="R159" s="20"/>
      <x:c r="S159" s="23"/>
      <x:c r="T159" s="20"/>
      <x:c r="U159" s="23"/>
      <x:c r="V159" s="20" t="str">
        <x:f>IF(A159="","",IF(AND(I159="Approved",O159&lt;TODAY()),"YES","NO"))</x:f>
      </x:c>
    </x:row>
    <x:row r="160">
      <x:c r="A160" s="20"/>
      <x:c r="B160" s="20"/>
      <x:c r="C160" s="20"/>
      <x:c r="D160" s="20"/>
      <x:c r="E160" s="20"/>
      <x:c r="F160" s="20"/>
      <x:c r="G160" s="20"/>
      <x:c r="H160" s="20"/>
      <x:c r="I160" s="20"/>
      <x:c r="J160" s="20"/>
      <x:c r="K160" s="20"/>
      <x:c r="L160" s="23"/>
      <x:c r="M160" s="23"/>
      <x:c r="N160" s="23"/>
      <x:c r="O160" s="23"/>
      <x:c r="P160" s="20"/>
      <x:c r="Q160" s="20"/>
      <x:c r="R160" s="20"/>
      <x:c r="S160" s="23"/>
      <x:c r="T160" s="20"/>
      <x:c r="U160" s="23"/>
      <x:c r="V160" s="20" t="str">
        <x:f>IF(A160="","",IF(AND(I160="Approved",O160&lt;TODAY()),"YES","NO"))</x:f>
      </x:c>
    </x:row>
    <x:row r="161">
      <x:c r="A161" s="20"/>
      <x:c r="B161" s="20"/>
      <x:c r="C161" s="20"/>
      <x:c r="D161" s="20"/>
      <x:c r="E161" s="20"/>
      <x:c r="F161" s="20"/>
      <x:c r="G161" s="20"/>
      <x:c r="H161" s="20"/>
      <x:c r="I161" s="20"/>
      <x:c r="J161" s="20"/>
      <x:c r="K161" s="20"/>
      <x:c r="L161" s="23"/>
      <x:c r="M161" s="23"/>
      <x:c r="N161" s="23"/>
      <x:c r="O161" s="23"/>
      <x:c r="P161" s="20"/>
      <x:c r="Q161" s="20"/>
      <x:c r="R161" s="20"/>
      <x:c r="S161" s="23"/>
      <x:c r="T161" s="20"/>
      <x:c r="U161" s="23"/>
      <x:c r="V161" s="20" t="str">
        <x:f>IF(A161="","",IF(AND(I161="Approved",O161&lt;TODAY()),"YES","NO"))</x:f>
      </x:c>
    </x:row>
    <x:row r="162">
      <x:c r="A162" s="20"/>
      <x:c r="B162" s="20"/>
      <x:c r="C162" s="20"/>
      <x:c r="D162" s="20"/>
      <x:c r="E162" s="20"/>
      <x:c r="F162" s="20"/>
      <x:c r="G162" s="20"/>
      <x:c r="H162" s="20"/>
      <x:c r="I162" s="20"/>
      <x:c r="J162" s="20"/>
      <x:c r="K162" s="20"/>
      <x:c r="L162" s="23"/>
      <x:c r="M162" s="23"/>
      <x:c r="N162" s="23"/>
      <x:c r="O162" s="23"/>
      <x:c r="P162" s="20"/>
      <x:c r="Q162" s="20"/>
      <x:c r="R162" s="20"/>
      <x:c r="S162" s="23"/>
      <x:c r="T162" s="20"/>
      <x:c r="U162" s="23"/>
      <x:c r="V162" s="20" t="str">
        <x:f>IF(A162="","",IF(AND(I162="Approved",O162&lt;TODAY()),"YES","NO"))</x:f>
      </x:c>
    </x:row>
    <x:row r="163">
      <x:c r="A163" s="20"/>
      <x:c r="B163" s="20"/>
      <x:c r="C163" s="20"/>
      <x:c r="D163" s="20"/>
      <x:c r="E163" s="20"/>
      <x:c r="F163" s="20"/>
      <x:c r="G163" s="20"/>
      <x:c r="H163" s="20"/>
      <x:c r="I163" s="20"/>
      <x:c r="J163" s="20"/>
      <x:c r="K163" s="20"/>
      <x:c r="L163" s="23"/>
      <x:c r="M163" s="23"/>
      <x:c r="N163" s="23"/>
      <x:c r="O163" s="23"/>
      <x:c r="P163" s="20"/>
      <x:c r="Q163" s="20"/>
      <x:c r="R163" s="20"/>
      <x:c r="S163" s="23"/>
      <x:c r="T163" s="20"/>
      <x:c r="U163" s="23"/>
      <x:c r="V163" s="20" t="str">
        <x:f>IF(A163="","",IF(AND(I163="Approved",O163&lt;TODAY()),"YES","NO"))</x:f>
      </x:c>
    </x:row>
    <x:row r="164">
      <x:c r="A164" s="20"/>
      <x:c r="B164" s="20"/>
      <x:c r="C164" s="20"/>
      <x:c r="D164" s="20"/>
      <x:c r="E164" s="20"/>
      <x:c r="F164" s="20"/>
      <x:c r="G164" s="20"/>
      <x:c r="H164" s="20"/>
      <x:c r="I164" s="20"/>
      <x:c r="J164" s="20"/>
      <x:c r="K164" s="20"/>
      <x:c r="L164" s="23"/>
      <x:c r="M164" s="23"/>
      <x:c r="N164" s="23"/>
      <x:c r="O164" s="23"/>
      <x:c r="P164" s="20"/>
      <x:c r="Q164" s="20"/>
      <x:c r="R164" s="20"/>
      <x:c r="S164" s="23"/>
      <x:c r="T164" s="20"/>
      <x:c r="U164" s="23"/>
      <x:c r="V164" s="20" t="str">
        <x:f>IF(A164="","",IF(AND(I164="Approved",O164&lt;TODAY()),"YES","NO"))</x:f>
      </x:c>
    </x:row>
    <x:row r="165">
      <x:c r="A165" s="20"/>
      <x:c r="B165" s="20"/>
      <x:c r="C165" s="20"/>
      <x:c r="D165" s="20"/>
      <x:c r="E165" s="20"/>
      <x:c r="F165" s="20"/>
      <x:c r="G165" s="20"/>
      <x:c r="H165" s="20"/>
      <x:c r="I165" s="20"/>
      <x:c r="J165" s="20"/>
      <x:c r="K165" s="20"/>
      <x:c r="L165" s="23"/>
      <x:c r="M165" s="23"/>
      <x:c r="N165" s="23"/>
      <x:c r="O165" s="23"/>
      <x:c r="P165" s="20"/>
      <x:c r="Q165" s="20"/>
      <x:c r="R165" s="20"/>
      <x:c r="S165" s="23"/>
      <x:c r="T165" s="20"/>
      <x:c r="U165" s="23"/>
      <x:c r="V165" s="20" t="str">
        <x:f>IF(A165="","",IF(AND(I165="Approved",O165&lt;TODAY()),"YES","NO"))</x:f>
      </x:c>
    </x:row>
    <x:row r="166">
      <x:c r="A166" s="20"/>
      <x:c r="B166" s="20"/>
      <x:c r="C166" s="20"/>
      <x:c r="D166" s="20"/>
      <x:c r="E166" s="20"/>
      <x:c r="F166" s="20"/>
      <x:c r="G166" s="20"/>
      <x:c r="H166" s="20"/>
      <x:c r="I166" s="20"/>
      <x:c r="J166" s="20"/>
      <x:c r="K166" s="20"/>
      <x:c r="L166" s="23"/>
      <x:c r="M166" s="23"/>
      <x:c r="N166" s="23"/>
      <x:c r="O166" s="23"/>
      <x:c r="P166" s="20"/>
      <x:c r="Q166" s="20"/>
      <x:c r="R166" s="20"/>
      <x:c r="S166" s="23"/>
      <x:c r="T166" s="20"/>
      <x:c r="U166" s="23"/>
      <x:c r="V166" s="20" t="str">
        <x:f>IF(A166="","",IF(AND(I166="Approved",O166&lt;TODAY()),"YES","NO"))</x:f>
      </x:c>
    </x:row>
    <x:row r="167">
      <x:c r="A167" s="20"/>
      <x:c r="B167" s="20"/>
      <x:c r="C167" s="20"/>
      <x:c r="D167" s="20"/>
      <x:c r="E167" s="20"/>
      <x:c r="F167" s="20"/>
      <x:c r="G167" s="20"/>
      <x:c r="H167" s="20"/>
      <x:c r="I167" s="20"/>
      <x:c r="J167" s="20"/>
      <x:c r="K167" s="20"/>
      <x:c r="L167" s="23"/>
      <x:c r="M167" s="23"/>
      <x:c r="N167" s="23"/>
      <x:c r="O167" s="23"/>
      <x:c r="P167" s="20"/>
      <x:c r="Q167" s="20"/>
      <x:c r="R167" s="20"/>
      <x:c r="S167" s="23"/>
      <x:c r="T167" s="20"/>
      <x:c r="U167" s="23"/>
      <x:c r="V167" s="20" t="str">
        <x:f>IF(A167="","",IF(AND(I167="Approved",O167&lt;TODAY()),"YES","NO"))</x:f>
      </x:c>
    </x:row>
    <x:row r="168">
      <x:c r="A168" s="20"/>
      <x:c r="B168" s="20"/>
      <x:c r="C168" s="20"/>
      <x:c r="D168" s="20"/>
      <x:c r="E168" s="20"/>
      <x:c r="F168" s="20"/>
      <x:c r="G168" s="20"/>
      <x:c r="H168" s="20"/>
      <x:c r="I168" s="20"/>
      <x:c r="J168" s="20"/>
      <x:c r="K168" s="20"/>
      <x:c r="L168" s="23"/>
      <x:c r="M168" s="23"/>
      <x:c r="N168" s="23"/>
      <x:c r="O168" s="23"/>
      <x:c r="P168" s="20"/>
      <x:c r="Q168" s="20"/>
      <x:c r="R168" s="20"/>
      <x:c r="S168" s="23"/>
      <x:c r="T168" s="20"/>
      <x:c r="U168" s="23"/>
      <x:c r="V168" s="20" t="str">
        <x:f>IF(A168="","",IF(AND(I168="Approved",O168&lt;TODAY()),"YES","NO"))</x:f>
      </x:c>
    </x:row>
    <x:row r="169">
      <x:c r="A169" s="20"/>
      <x:c r="B169" s="20"/>
      <x:c r="C169" s="20"/>
      <x:c r="D169" s="20"/>
      <x:c r="E169" s="20"/>
      <x:c r="F169" s="20"/>
      <x:c r="G169" s="20"/>
      <x:c r="H169" s="20"/>
      <x:c r="I169" s="20"/>
      <x:c r="J169" s="20"/>
      <x:c r="K169" s="20"/>
      <x:c r="L169" s="23"/>
      <x:c r="M169" s="23"/>
      <x:c r="N169" s="23"/>
      <x:c r="O169" s="23"/>
      <x:c r="P169" s="20"/>
      <x:c r="Q169" s="20"/>
      <x:c r="R169" s="20"/>
      <x:c r="S169" s="23"/>
      <x:c r="T169" s="20"/>
      <x:c r="U169" s="23"/>
      <x:c r="V169" s="20" t="str">
        <x:f>IF(A169="","",IF(AND(I169="Approved",O169&lt;TODAY()),"YES","NO"))</x:f>
      </x:c>
    </x:row>
    <x:row r="170">
      <x:c r="A170" s="20"/>
      <x:c r="B170" s="20"/>
      <x:c r="C170" s="20"/>
      <x:c r="D170" s="20"/>
      <x:c r="E170" s="20"/>
      <x:c r="F170" s="20"/>
      <x:c r="G170" s="20"/>
      <x:c r="H170" s="20"/>
      <x:c r="I170" s="20"/>
      <x:c r="J170" s="20"/>
      <x:c r="K170" s="20"/>
      <x:c r="L170" s="23"/>
      <x:c r="M170" s="23"/>
      <x:c r="N170" s="23"/>
      <x:c r="O170" s="23"/>
      <x:c r="P170" s="20"/>
      <x:c r="Q170" s="20"/>
      <x:c r="R170" s="20"/>
      <x:c r="S170" s="23"/>
      <x:c r="T170" s="20"/>
      <x:c r="U170" s="23"/>
      <x:c r="V170" s="20" t="str">
        <x:f>IF(A170="","",IF(AND(I170="Approved",O170&lt;TODAY()),"YES","NO"))</x:f>
      </x:c>
    </x:row>
    <x:row r="171">
      <x:c r="A171" s="20"/>
      <x:c r="B171" s="20"/>
      <x:c r="C171" s="20"/>
      <x:c r="D171" s="20"/>
      <x:c r="E171" s="20"/>
      <x:c r="F171" s="20"/>
      <x:c r="G171" s="20"/>
      <x:c r="H171" s="20"/>
      <x:c r="I171" s="20"/>
      <x:c r="J171" s="20"/>
      <x:c r="K171" s="20"/>
      <x:c r="L171" s="23"/>
      <x:c r="M171" s="23"/>
      <x:c r="N171" s="23"/>
      <x:c r="O171" s="23"/>
      <x:c r="P171" s="20"/>
      <x:c r="Q171" s="20"/>
      <x:c r="R171" s="20"/>
      <x:c r="S171" s="23"/>
      <x:c r="T171" s="20"/>
      <x:c r="U171" s="23"/>
      <x:c r="V171" s="20" t="str">
        <x:f>IF(A171="","",IF(AND(I171="Approved",O171&lt;TODAY()),"YES","NO"))</x:f>
      </x:c>
    </x:row>
    <x:row r="172">
      <x:c r="A172" s="20"/>
      <x:c r="B172" s="20"/>
      <x:c r="C172" s="20"/>
      <x:c r="D172" s="20"/>
      <x:c r="E172" s="20"/>
      <x:c r="F172" s="20"/>
      <x:c r="G172" s="20"/>
      <x:c r="H172" s="20"/>
      <x:c r="I172" s="20"/>
      <x:c r="J172" s="20"/>
      <x:c r="K172" s="20"/>
      <x:c r="L172" s="23"/>
      <x:c r="M172" s="23"/>
      <x:c r="N172" s="23"/>
      <x:c r="O172" s="23"/>
      <x:c r="P172" s="20"/>
      <x:c r="Q172" s="20"/>
      <x:c r="R172" s="20"/>
      <x:c r="S172" s="23"/>
      <x:c r="T172" s="20"/>
      <x:c r="U172" s="23"/>
      <x:c r="V172" s="20" t="str">
        <x:f>IF(A172="","",IF(AND(I172="Approved",O172&lt;TODAY()),"YES","NO"))</x:f>
      </x:c>
    </x:row>
    <x:row r="173">
      <x:c r="A173" s="20"/>
      <x:c r="B173" s="20"/>
      <x:c r="C173" s="20"/>
      <x:c r="D173" s="20"/>
      <x:c r="E173" s="20"/>
      <x:c r="F173" s="20"/>
      <x:c r="G173" s="20"/>
      <x:c r="H173" s="20"/>
      <x:c r="I173" s="20"/>
      <x:c r="J173" s="20"/>
      <x:c r="K173" s="20"/>
      <x:c r="L173" s="23"/>
      <x:c r="M173" s="23"/>
      <x:c r="N173" s="23"/>
      <x:c r="O173" s="23"/>
      <x:c r="P173" s="20"/>
      <x:c r="Q173" s="20"/>
      <x:c r="R173" s="20"/>
      <x:c r="S173" s="23"/>
      <x:c r="T173" s="20"/>
      <x:c r="U173" s="23"/>
      <x:c r="V173" s="20" t="str">
        <x:f>IF(A173="","",IF(AND(I173="Approved",O173&lt;TODAY()),"YES","NO"))</x:f>
      </x:c>
    </x:row>
    <x:row r="174">
      <x:c r="A174" s="20"/>
      <x:c r="B174" s="20"/>
      <x:c r="C174" s="20"/>
      <x:c r="D174" s="20"/>
      <x:c r="E174" s="20"/>
      <x:c r="F174" s="20"/>
      <x:c r="G174" s="20"/>
      <x:c r="H174" s="20"/>
      <x:c r="I174" s="20"/>
      <x:c r="J174" s="20"/>
      <x:c r="K174" s="20"/>
      <x:c r="L174" s="23"/>
      <x:c r="M174" s="23"/>
      <x:c r="N174" s="23"/>
      <x:c r="O174" s="23"/>
      <x:c r="P174" s="20"/>
      <x:c r="Q174" s="20"/>
      <x:c r="R174" s="20"/>
      <x:c r="S174" s="23"/>
      <x:c r="T174" s="20"/>
      <x:c r="U174" s="23"/>
      <x:c r="V174" s="20" t="str">
        <x:f>IF(A174="","",IF(AND(I174="Approved",O174&lt;TODAY()),"YES","NO"))</x:f>
      </x:c>
    </x:row>
    <x:row r="175">
      <x:c r="A175" s="20"/>
      <x:c r="B175" s="20"/>
      <x:c r="C175" s="20"/>
      <x:c r="D175" s="20"/>
      <x:c r="E175" s="20"/>
      <x:c r="F175" s="20"/>
      <x:c r="G175" s="20"/>
      <x:c r="H175" s="20"/>
      <x:c r="I175" s="20"/>
      <x:c r="J175" s="20"/>
      <x:c r="K175" s="20"/>
      <x:c r="L175" s="23"/>
      <x:c r="M175" s="23"/>
      <x:c r="N175" s="23"/>
      <x:c r="O175" s="23"/>
      <x:c r="P175" s="20"/>
      <x:c r="Q175" s="20"/>
      <x:c r="R175" s="20"/>
      <x:c r="S175" s="23"/>
      <x:c r="T175" s="20"/>
      <x:c r="U175" s="23"/>
      <x:c r="V175" s="20" t="str">
        <x:f>IF(A175="","",IF(AND(I175="Approved",O175&lt;TODAY()),"YES","NO"))</x:f>
      </x:c>
    </x:row>
    <x:row r="176">
      <x:c r="A176" s="20"/>
      <x:c r="B176" s="20"/>
      <x:c r="C176" s="20"/>
      <x:c r="D176" s="20"/>
      <x:c r="E176" s="20"/>
      <x:c r="F176" s="20"/>
      <x:c r="G176" s="20"/>
      <x:c r="H176" s="20"/>
      <x:c r="I176" s="20"/>
      <x:c r="J176" s="20"/>
      <x:c r="K176" s="20"/>
      <x:c r="L176" s="23"/>
      <x:c r="M176" s="23"/>
      <x:c r="N176" s="23"/>
      <x:c r="O176" s="23"/>
      <x:c r="P176" s="20"/>
      <x:c r="Q176" s="20"/>
      <x:c r="R176" s="20"/>
      <x:c r="S176" s="23"/>
      <x:c r="T176" s="20"/>
      <x:c r="U176" s="23"/>
      <x:c r="V176" s="20" t="str">
        <x:f>IF(A176="","",IF(AND(I176="Approved",O176&lt;TODAY()),"YES","NO"))</x:f>
      </x:c>
    </x:row>
    <x:row r="177">
      <x:c r="A177" s="20"/>
      <x:c r="B177" s="20"/>
      <x:c r="C177" s="20"/>
      <x:c r="D177" s="20"/>
      <x:c r="E177" s="20"/>
      <x:c r="F177" s="20"/>
      <x:c r="G177" s="20"/>
      <x:c r="H177" s="20"/>
      <x:c r="I177" s="20"/>
      <x:c r="J177" s="20"/>
      <x:c r="K177" s="20"/>
      <x:c r="L177" s="23"/>
      <x:c r="M177" s="23"/>
      <x:c r="N177" s="23"/>
      <x:c r="O177" s="23"/>
      <x:c r="P177" s="20"/>
      <x:c r="Q177" s="20"/>
      <x:c r="R177" s="20"/>
      <x:c r="S177" s="23"/>
      <x:c r="T177" s="20"/>
      <x:c r="U177" s="23"/>
      <x:c r="V177" s="20" t="str">
        <x:f>IF(A177="","",IF(AND(I177="Approved",O177&lt;TODAY()),"YES","NO"))</x:f>
      </x:c>
    </x:row>
    <x:row r="178">
      <x:c r="A178" s="20"/>
      <x:c r="B178" s="20"/>
      <x:c r="C178" s="20"/>
      <x:c r="D178" s="20"/>
      <x:c r="E178" s="20"/>
      <x:c r="F178" s="20"/>
      <x:c r="G178" s="20"/>
      <x:c r="H178" s="20"/>
      <x:c r="I178" s="20"/>
      <x:c r="J178" s="20"/>
      <x:c r="K178" s="20"/>
      <x:c r="L178" s="23"/>
      <x:c r="M178" s="23"/>
      <x:c r="N178" s="23"/>
      <x:c r="O178" s="23"/>
      <x:c r="P178" s="20"/>
      <x:c r="Q178" s="20"/>
      <x:c r="R178" s="20"/>
      <x:c r="S178" s="23"/>
      <x:c r="T178" s="20"/>
      <x:c r="U178" s="23"/>
      <x:c r="V178" s="20" t="str">
        <x:f>IF(A178="","",IF(AND(I178="Approved",O178&lt;TODAY()),"YES","NO"))</x:f>
      </x:c>
    </x:row>
    <x:row r="179">
      <x:c r="A179" s="20"/>
      <x:c r="B179" s="20"/>
      <x:c r="C179" s="20"/>
      <x:c r="D179" s="20"/>
      <x:c r="E179" s="20"/>
      <x:c r="F179" s="20"/>
      <x:c r="G179" s="20"/>
      <x:c r="H179" s="20"/>
      <x:c r="I179" s="20"/>
      <x:c r="J179" s="20"/>
      <x:c r="K179" s="20"/>
      <x:c r="L179" s="23"/>
      <x:c r="M179" s="23"/>
      <x:c r="N179" s="23"/>
      <x:c r="O179" s="23"/>
      <x:c r="P179" s="20"/>
      <x:c r="Q179" s="20"/>
      <x:c r="R179" s="20"/>
      <x:c r="S179" s="23"/>
      <x:c r="T179" s="20"/>
      <x:c r="U179" s="23"/>
      <x:c r="V179" s="20" t="str">
        <x:f>IF(A179="","",IF(AND(I179="Approved",O179&lt;TODAY()),"YES","NO"))</x:f>
      </x:c>
    </x:row>
    <x:row r="180">
      <x:c r="A180" s="20"/>
      <x:c r="B180" s="20"/>
      <x:c r="C180" s="20"/>
      <x:c r="D180" s="20"/>
      <x:c r="E180" s="20"/>
      <x:c r="F180" s="20"/>
      <x:c r="G180" s="20"/>
      <x:c r="H180" s="20"/>
      <x:c r="I180" s="20"/>
      <x:c r="J180" s="20"/>
      <x:c r="K180" s="20"/>
      <x:c r="L180" s="23"/>
      <x:c r="M180" s="23"/>
      <x:c r="N180" s="23"/>
      <x:c r="O180" s="23"/>
      <x:c r="P180" s="20"/>
      <x:c r="Q180" s="20"/>
      <x:c r="R180" s="20"/>
      <x:c r="S180" s="23"/>
      <x:c r="T180" s="20"/>
      <x:c r="U180" s="23"/>
      <x:c r="V180" s="20" t="str">
        <x:f>IF(A180="","",IF(AND(I180="Approved",O180&lt;TODAY()),"YES","NO"))</x:f>
      </x:c>
    </x:row>
    <x:row r="181">
      <x:c r="A181" s="20"/>
      <x:c r="B181" s="20"/>
      <x:c r="C181" s="20"/>
      <x:c r="D181" s="20"/>
      <x:c r="E181" s="20"/>
      <x:c r="F181" s="20"/>
      <x:c r="G181" s="20"/>
      <x:c r="H181" s="20"/>
      <x:c r="I181" s="20"/>
      <x:c r="J181" s="20"/>
      <x:c r="K181" s="20"/>
      <x:c r="L181" s="23"/>
      <x:c r="M181" s="23"/>
      <x:c r="N181" s="23"/>
      <x:c r="O181" s="23"/>
      <x:c r="P181" s="20"/>
      <x:c r="Q181" s="20"/>
      <x:c r="R181" s="20"/>
      <x:c r="S181" s="23"/>
      <x:c r="T181" s="20"/>
      <x:c r="U181" s="23"/>
      <x:c r="V181" s="20" t="str">
        <x:f>IF(A181="","",IF(AND(I181="Approved",O181&lt;TODAY()),"YES","NO"))</x:f>
      </x:c>
    </x:row>
    <x:row r="182">
      <x:c r="A182" s="20"/>
      <x:c r="B182" s="20"/>
      <x:c r="C182" s="20"/>
      <x:c r="D182" s="20"/>
      <x:c r="E182" s="20"/>
      <x:c r="F182" s="20"/>
      <x:c r="G182" s="20"/>
      <x:c r="H182" s="20"/>
      <x:c r="I182" s="20"/>
      <x:c r="J182" s="20"/>
      <x:c r="K182" s="20"/>
      <x:c r="L182" s="23"/>
      <x:c r="M182" s="23"/>
      <x:c r="N182" s="23"/>
      <x:c r="O182" s="23"/>
      <x:c r="P182" s="20"/>
      <x:c r="Q182" s="20"/>
      <x:c r="R182" s="20"/>
      <x:c r="S182" s="23"/>
      <x:c r="T182" s="20"/>
      <x:c r="U182" s="23"/>
      <x:c r="V182" s="20" t="str">
        <x:f>IF(A182="","",IF(AND(I182="Approved",O182&lt;TODAY()),"YES","NO"))</x:f>
      </x:c>
    </x:row>
    <x:row r="183">
      <x:c r="A183" s="20"/>
      <x:c r="B183" s="20"/>
      <x:c r="C183" s="20"/>
      <x:c r="D183" s="20"/>
      <x:c r="E183" s="20"/>
      <x:c r="F183" s="20"/>
      <x:c r="G183" s="20"/>
      <x:c r="H183" s="20"/>
      <x:c r="I183" s="20"/>
      <x:c r="J183" s="20"/>
      <x:c r="K183" s="20"/>
      <x:c r="L183" s="23"/>
      <x:c r="M183" s="23"/>
      <x:c r="N183" s="23"/>
      <x:c r="O183" s="23"/>
      <x:c r="P183" s="20"/>
      <x:c r="Q183" s="20"/>
      <x:c r="R183" s="20"/>
      <x:c r="S183" s="23"/>
      <x:c r="T183" s="20"/>
      <x:c r="U183" s="23"/>
      <x:c r="V183" s="20" t="str">
        <x:f>IF(A183="","",IF(AND(I183="Approved",O183&lt;TODAY()),"YES","NO"))</x:f>
      </x:c>
    </x:row>
    <x:row r="184">
      <x:c r="A184" s="20"/>
      <x:c r="B184" s="20"/>
      <x:c r="C184" s="20"/>
      <x:c r="D184" s="20"/>
      <x:c r="E184" s="20"/>
      <x:c r="F184" s="20"/>
      <x:c r="G184" s="20"/>
      <x:c r="H184" s="20"/>
      <x:c r="I184" s="20"/>
      <x:c r="J184" s="20"/>
      <x:c r="K184" s="20"/>
      <x:c r="L184" s="23"/>
      <x:c r="M184" s="23"/>
      <x:c r="N184" s="23"/>
      <x:c r="O184" s="23"/>
      <x:c r="P184" s="20"/>
      <x:c r="Q184" s="20"/>
      <x:c r="R184" s="20"/>
      <x:c r="S184" s="23"/>
      <x:c r="T184" s="20"/>
      <x:c r="U184" s="23"/>
      <x:c r="V184" s="20" t="str">
        <x:f>IF(A184="","",IF(AND(I184="Approved",O184&lt;TODAY()),"YES","NO"))</x:f>
      </x:c>
    </x:row>
    <x:row r="185">
      <x:c r="A185" s="20"/>
      <x:c r="B185" s="20"/>
      <x:c r="C185" s="20"/>
      <x:c r="D185" s="20"/>
      <x:c r="E185" s="20"/>
      <x:c r="F185" s="20"/>
      <x:c r="G185" s="20"/>
      <x:c r="H185" s="20"/>
      <x:c r="I185" s="20"/>
      <x:c r="J185" s="20"/>
      <x:c r="K185" s="20"/>
      <x:c r="L185" s="23"/>
      <x:c r="M185" s="23"/>
      <x:c r="N185" s="23"/>
      <x:c r="O185" s="23"/>
      <x:c r="P185" s="20"/>
      <x:c r="Q185" s="20"/>
      <x:c r="R185" s="20"/>
      <x:c r="S185" s="23"/>
      <x:c r="T185" s="20"/>
      <x:c r="U185" s="23"/>
      <x:c r="V185" s="20" t="str">
        <x:f>IF(A185="","",IF(AND(I185="Approved",O185&lt;TODAY()),"YES","NO"))</x:f>
      </x:c>
    </x:row>
    <x:row r="186">
      <x:c r="A186" s="20"/>
      <x:c r="B186" s="20"/>
      <x:c r="C186" s="20"/>
      <x:c r="D186" s="20"/>
      <x:c r="E186" s="20"/>
      <x:c r="F186" s="20"/>
      <x:c r="G186" s="20"/>
      <x:c r="H186" s="20"/>
      <x:c r="I186" s="20"/>
      <x:c r="J186" s="20"/>
      <x:c r="K186" s="20"/>
      <x:c r="L186" s="23"/>
      <x:c r="M186" s="23"/>
      <x:c r="N186" s="23"/>
      <x:c r="O186" s="23"/>
      <x:c r="P186" s="20"/>
      <x:c r="Q186" s="20"/>
      <x:c r="R186" s="20"/>
      <x:c r="S186" s="23"/>
      <x:c r="T186" s="20"/>
      <x:c r="U186" s="23"/>
      <x:c r="V186" s="20" t="str">
        <x:f>IF(A186="","",IF(AND(I186="Approved",O186&lt;TODAY()),"YES","NO"))</x:f>
      </x:c>
    </x:row>
    <x:row r="187">
      <x:c r="A187" s="20"/>
      <x:c r="B187" s="20"/>
      <x:c r="C187" s="20"/>
      <x:c r="D187" s="20"/>
      <x:c r="E187" s="20"/>
      <x:c r="F187" s="20"/>
      <x:c r="G187" s="20"/>
      <x:c r="H187" s="20"/>
      <x:c r="I187" s="20"/>
      <x:c r="J187" s="20"/>
      <x:c r="K187" s="20"/>
      <x:c r="L187" s="23"/>
      <x:c r="M187" s="23"/>
      <x:c r="N187" s="23"/>
      <x:c r="O187" s="23"/>
      <x:c r="P187" s="20"/>
      <x:c r="Q187" s="20"/>
      <x:c r="R187" s="20"/>
      <x:c r="S187" s="23"/>
      <x:c r="T187" s="20"/>
      <x:c r="U187" s="23"/>
      <x:c r="V187" s="20" t="str">
        <x:f>IF(A187="","",IF(AND(I187="Approved",O187&lt;TODAY()),"YES","NO"))</x:f>
      </x:c>
    </x:row>
    <x:row r="188">
      <x:c r="A188" s="20"/>
      <x:c r="B188" s="20"/>
      <x:c r="C188" s="20"/>
      <x:c r="D188" s="20"/>
      <x:c r="E188" s="20"/>
      <x:c r="F188" s="20"/>
      <x:c r="G188" s="20"/>
      <x:c r="H188" s="20"/>
      <x:c r="I188" s="20"/>
      <x:c r="J188" s="20"/>
      <x:c r="K188" s="20"/>
      <x:c r="L188" s="23"/>
      <x:c r="M188" s="23"/>
      <x:c r="N188" s="23"/>
      <x:c r="O188" s="23"/>
      <x:c r="P188" s="20"/>
      <x:c r="Q188" s="20"/>
      <x:c r="R188" s="20"/>
      <x:c r="S188" s="23"/>
      <x:c r="T188" s="20"/>
      <x:c r="U188" s="23"/>
      <x:c r="V188" s="20" t="str">
        <x:f>IF(A188="","",IF(AND(I188="Approved",O188&lt;TODAY()),"YES","NO"))</x:f>
      </x:c>
    </x:row>
    <x:row r="189">
      <x:c r="A189" s="20"/>
      <x:c r="B189" s="20"/>
      <x:c r="C189" s="20"/>
      <x:c r="D189" s="20"/>
      <x:c r="E189" s="20"/>
      <x:c r="F189" s="20"/>
      <x:c r="G189" s="20"/>
      <x:c r="H189" s="20"/>
      <x:c r="I189" s="20"/>
      <x:c r="J189" s="20"/>
      <x:c r="K189" s="20"/>
      <x:c r="L189" s="23"/>
      <x:c r="M189" s="23"/>
      <x:c r="N189" s="23"/>
      <x:c r="O189" s="23"/>
      <x:c r="P189" s="20"/>
      <x:c r="Q189" s="20"/>
      <x:c r="R189" s="20"/>
      <x:c r="S189" s="23"/>
      <x:c r="T189" s="20"/>
      <x:c r="U189" s="23"/>
      <x:c r="V189" s="20" t="str">
        <x:f>IF(A189="","",IF(AND(I189="Approved",O189&lt;TODAY()),"YES","NO"))</x:f>
      </x:c>
    </x:row>
    <x:row r="190">
      <x:c r="A190" s="20"/>
      <x:c r="B190" s="20"/>
      <x:c r="C190" s="20"/>
      <x:c r="D190" s="20"/>
      <x:c r="E190" s="20"/>
      <x:c r="F190" s="20"/>
      <x:c r="G190" s="20"/>
      <x:c r="H190" s="20"/>
      <x:c r="I190" s="20"/>
      <x:c r="J190" s="20"/>
      <x:c r="K190" s="20"/>
      <x:c r="L190" s="23"/>
      <x:c r="M190" s="23"/>
      <x:c r="N190" s="23"/>
      <x:c r="O190" s="23"/>
      <x:c r="P190" s="20"/>
      <x:c r="Q190" s="20"/>
      <x:c r="R190" s="20"/>
      <x:c r="S190" s="23"/>
      <x:c r="T190" s="20"/>
      <x:c r="U190" s="23"/>
      <x:c r="V190" s="20" t="str">
        <x:f>IF(A190="","",IF(AND(I190="Approved",O190&lt;TODAY()),"YES","NO"))</x:f>
      </x:c>
    </x:row>
    <x:row r="191">
      <x:c r="A191" s="20"/>
      <x:c r="B191" s="20"/>
      <x:c r="C191" s="20"/>
      <x:c r="D191" s="20"/>
      <x:c r="E191" s="20"/>
      <x:c r="F191" s="20"/>
      <x:c r="G191" s="20"/>
      <x:c r="H191" s="20"/>
      <x:c r="I191" s="20"/>
      <x:c r="J191" s="20"/>
      <x:c r="K191" s="20"/>
      <x:c r="L191" s="23"/>
      <x:c r="M191" s="23"/>
      <x:c r="N191" s="23"/>
      <x:c r="O191" s="23"/>
      <x:c r="P191" s="20"/>
      <x:c r="Q191" s="20"/>
      <x:c r="R191" s="20"/>
      <x:c r="S191" s="23"/>
      <x:c r="T191" s="20"/>
      <x:c r="U191" s="23"/>
      <x:c r="V191" s="20" t="str">
        <x:f>IF(A191="","",IF(AND(I191="Approved",O191&lt;TODAY()),"YES","NO"))</x:f>
      </x:c>
    </x:row>
    <x:row r="192">
      <x:c r="A192" s="20"/>
      <x:c r="B192" s="20"/>
      <x:c r="C192" s="20"/>
      <x:c r="D192" s="20"/>
      <x:c r="E192" s="20"/>
      <x:c r="F192" s="20"/>
      <x:c r="G192" s="20"/>
      <x:c r="H192" s="20"/>
      <x:c r="I192" s="20"/>
      <x:c r="J192" s="20"/>
      <x:c r="K192" s="20"/>
      <x:c r="L192" s="23"/>
      <x:c r="M192" s="23"/>
      <x:c r="N192" s="23"/>
      <x:c r="O192" s="23"/>
      <x:c r="P192" s="20"/>
      <x:c r="Q192" s="20"/>
      <x:c r="R192" s="20"/>
      <x:c r="S192" s="23"/>
      <x:c r="T192" s="20"/>
      <x:c r="U192" s="23"/>
      <x:c r="V192" s="20" t="str">
        <x:f>IF(A192="","",IF(AND(I192="Approved",O192&lt;TODAY()),"YES","NO"))</x:f>
      </x:c>
    </x:row>
    <x:row r="193">
      <x:c r="A193" s="20"/>
      <x:c r="B193" s="20"/>
      <x:c r="C193" s="20"/>
      <x:c r="D193" s="20"/>
      <x:c r="E193" s="20"/>
      <x:c r="F193" s="20"/>
      <x:c r="G193" s="20"/>
      <x:c r="H193" s="20"/>
      <x:c r="I193" s="20"/>
      <x:c r="J193" s="20"/>
      <x:c r="K193" s="20"/>
      <x:c r="L193" s="23"/>
      <x:c r="M193" s="23"/>
      <x:c r="N193" s="23"/>
      <x:c r="O193" s="23"/>
      <x:c r="P193" s="20"/>
      <x:c r="Q193" s="20"/>
      <x:c r="R193" s="20"/>
      <x:c r="S193" s="23"/>
      <x:c r="T193" s="20"/>
      <x:c r="U193" s="23"/>
      <x:c r="V193" s="20" t="str">
        <x:f>IF(A193="","",IF(AND(I193="Approved",O193&lt;TODAY()),"YES","NO"))</x:f>
      </x:c>
    </x:row>
    <x:row r="194">
      <x:c r="A194" s="20"/>
      <x:c r="B194" s="20"/>
      <x:c r="C194" s="20"/>
      <x:c r="D194" s="20"/>
      <x:c r="E194" s="20"/>
      <x:c r="F194" s="20"/>
      <x:c r="G194" s="20"/>
      <x:c r="H194" s="20"/>
      <x:c r="I194" s="20"/>
      <x:c r="J194" s="20"/>
      <x:c r="K194" s="20"/>
      <x:c r="L194" s="23"/>
      <x:c r="M194" s="23"/>
      <x:c r="N194" s="23"/>
      <x:c r="O194" s="23"/>
      <x:c r="P194" s="20"/>
      <x:c r="Q194" s="20"/>
      <x:c r="R194" s="20"/>
      <x:c r="S194" s="23"/>
      <x:c r="T194" s="20"/>
      <x:c r="U194" s="23"/>
      <x:c r="V194" s="20" t="str">
        <x:f>IF(A194="","",IF(AND(I194="Approved",O194&lt;TODAY()),"YES","NO"))</x:f>
      </x:c>
    </x:row>
    <x:row r="195">
      <x:c r="A195" s="20"/>
      <x:c r="B195" s="20"/>
      <x:c r="C195" s="20"/>
      <x:c r="D195" s="20"/>
      <x:c r="E195" s="20"/>
      <x:c r="F195" s="20"/>
      <x:c r="G195" s="20"/>
      <x:c r="H195" s="20"/>
      <x:c r="I195" s="20"/>
      <x:c r="J195" s="20"/>
      <x:c r="K195" s="20"/>
      <x:c r="L195" s="23"/>
      <x:c r="M195" s="23"/>
      <x:c r="N195" s="23"/>
      <x:c r="O195" s="23"/>
      <x:c r="P195" s="20"/>
      <x:c r="Q195" s="20"/>
      <x:c r="R195" s="20"/>
      <x:c r="S195" s="23"/>
      <x:c r="T195" s="20"/>
      <x:c r="U195" s="23"/>
      <x:c r="V195" s="20" t="str">
        <x:f>IF(A195="","",IF(AND(I195="Approved",O195&lt;TODAY()),"YES","NO"))</x:f>
      </x:c>
    </x:row>
    <x:row r="196">
      <x:c r="A196" s="20"/>
      <x:c r="B196" s="20"/>
      <x:c r="C196" s="20"/>
      <x:c r="D196" s="20"/>
      <x:c r="E196" s="20"/>
      <x:c r="F196" s="20"/>
      <x:c r="G196" s="20"/>
      <x:c r="H196" s="20"/>
      <x:c r="I196" s="20"/>
      <x:c r="J196" s="20"/>
      <x:c r="K196" s="20"/>
      <x:c r="L196" s="23"/>
      <x:c r="M196" s="23"/>
      <x:c r="N196" s="23"/>
      <x:c r="O196" s="23"/>
      <x:c r="P196" s="20"/>
      <x:c r="Q196" s="20"/>
      <x:c r="R196" s="20"/>
      <x:c r="S196" s="23"/>
      <x:c r="T196" s="20"/>
      <x:c r="U196" s="23"/>
      <x:c r="V196" s="20" t="str">
        <x:f>IF(A196="","",IF(AND(I196="Approved",O196&lt;TODAY()),"YES","NO"))</x:f>
      </x:c>
    </x:row>
    <x:row r="197">
      <x:c r="A197" s="20"/>
      <x:c r="B197" s="20"/>
      <x:c r="C197" s="20"/>
      <x:c r="D197" s="20"/>
      <x:c r="E197" s="20"/>
      <x:c r="F197" s="20"/>
      <x:c r="G197" s="20"/>
      <x:c r="H197" s="20"/>
      <x:c r="I197" s="20"/>
      <x:c r="J197" s="20"/>
      <x:c r="K197" s="20"/>
      <x:c r="L197" s="23"/>
      <x:c r="M197" s="23"/>
      <x:c r="N197" s="23"/>
      <x:c r="O197" s="23"/>
      <x:c r="P197" s="20"/>
      <x:c r="Q197" s="20"/>
      <x:c r="R197" s="20"/>
      <x:c r="S197" s="23"/>
      <x:c r="T197" s="20"/>
      <x:c r="U197" s="23"/>
      <x:c r="V197" s="20" t="str">
        <x:f>IF(A197="","",IF(AND(I197="Approved",O197&lt;TODAY()),"YES","NO"))</x:f>
      </x:c>
    </x:row>
    <x:row r="198">
      <x:c r="A198" s="20"/>
      <x:c r="B198" s="20"/>
      <x:c r="C198" s="20"/>
      <x:c r="D198" s="20"/>
      <x:c r="E198" s="20"/>
      <x:c r="F198" s="20"/>
      <x:c r="G198" s="20"/>
      <x:c r="H198" s="20"/>
      <x:c r="I198" s="20"/>
      <x:c r="J198" s="20"/>
      <x:c r="K198" s="20"/>
      <x:c r="L198" s="23"/>
      <x:c r="M198" s="23"/>
      <x:c r="N198" s="23"/>
      <x:c r="O198" s="23"/>
      <x:c r="P198" s="20"/>
      <x:c r="Q198" s="20"/>
      <x:c r="R198" s="20"/>
      <x:c r="S198" s="23"/>
      <x:c r="T198" s="20"/>
      <x:c r="U198" s="23"/>
      <x:c r="V198" s="20" t="str">
        <x:f>IF(A198="","",IF(AND(I198="Approved",O198&lt;TODAY()),"YES","NO"))</x:f>
      </x:c>
    </x:row>
    <x:row r="199">
      <x:c r="A199" s="20"/>
      <x:c r="B199" s="20"/>
      <x:c r="C199" s="20"/>
      <x:c r="D199" s="20"/>
      <x:c r="E199" s="20"/>
      <x:c r="F199" s="20"/>
      <x:c r="G199" s="20"/>
      <x:c r="H199" s="20"/>
      <x:c r="I199" s="20"/>
      <x:c r="J199" s="20"/>
      <x:c r="K199" s="20"/>
      <x:c r="L199" s="23"/>
      <x:c r="M199" s="23"/>
      <x:c r="N199" s="23"/>
      <x:c r="O199" s="23"/>
      <x:c r="P199" s="20"/>
      <x:c r="Q199" s="20"/>
      <x:c r="R199" s="20"/>
      <x:c r="S199" s="23"/>
      <x:c r="T199" s="20"/>
      <x:c r="U199" s="23"/>
      <x:c r="V199" s="20" t="str">
        <x:f>IF(A199="","",IF(AND(I199="Approved",O199&lt;TODAY()),"YES","NO"))</x:f>
      </x:c>
    </x:row>
    <x:row r="200">
      <x:c r="A200" s="20"/>
      <x:c r="B200" s="20"/>
      <x:c r="C200" s="20"/>
      <x:c r="D200" s="20"/>
      <x:c r="E200" s="20"/>
      <x:c r="F200" s="20"/>
      <x:c r="G200" s="20"/>
      <x:c r="H200" s="20"/>
      <x:c r="I200" s="20"/>
      <x:c r="J200" s="20"/>
      <x:c r="K200" s="20"/>
      <x:c r="L200" s="23"/>
      <x:c r="M200" s="23"/>
      <x:c r="N200" s="23"/>
      <x:c r="O200" s="23"/>
      <x:c r="P200" s="20"/>
      <x:c r="Q200" s="20"/>
      <x:c r="R200" s="20"/>
      <x:c r="S200" s="23"/>
      <x:c r="T200" s="20"/>
      <x:c r="U200" s="23"/>
      <x:c r="V200" s="20" t="str">
        <x:f>IF(A200="","",IF(AND(I200="Approved",O200&lt;TODAY()),"YES","NO"))</x:f>
      </x:c>
    </x:row>
    <x:row r="201">
      <x:c r="A201" s="20"/>
      <x:c r="B201" s="20"/>
      <x:c r="C201" s="20"/>
      <x:c r="D201" s="20"/>
      <x:c r="E201" s="20"/>
      <x:c r="F201" s="20"/>
      <x:c r="G201" s="20"/>
      <x:c r="H201" s="20"/>
      <x:c r="I201" s="20"/>
      <x:c r="J201" s="20"/>
      <x:c r="K201" s="20"/>
      <x:c r="L201" s="23"/>
      <x:c r="M201" s="23"/>
      <x:c r="N201" s="23"/>
      <x:c r="O201" s="23"/>
      <x:c r="P201" s="20"/>
      <x:c r="Q201" s="20"/>
      <x:c r="R201" s="20"/>
      <x:c r="S201" s="23"/>
      <x:c r="T201" s="20"/>
      <x:c r="U201" s="23"/>
      <x:c r="V201" s="20" t="str">
        <x:f>IF(A201="","",IF(AND(I201="Approved",O201&lt;TODAY()),"YES","NO"))</x:f>
      </x:c>
    </x:row>
    <x:row r="202">
      <x:c r="A202" s="20"/>
      <x:c r="B202" s="20"/>
      <x:c r="C202" s="20"/>
      <x:c r="D202" s="20"/>
      <x:c r="E202" s="20"/>
      <x:c r="F202" s="20"/>
      <x:c r="G202" s="20"/>
      <x:c r="H202" s="20"/>
      <x:c r="I202" s="20"/>
      <x:c r="J202" s="20"/>
      <x:c r="K202" s="20"/>
      <x:c r="L202" s="23"/>
      <x:c r="M202" s="23"/>
      <x:c r="N202" s="23"/>
      <x:c r="O202" s="23"/>
      <x:c r="P202" s="20"/>
      <x:c r="Q202" s="20"/>
      <x:c r="R202" s="20"/>
      <x:c r="S202" s="23"/>
      <x:c r="T202" s="20"/>
      <x:c r="U202" s="23"/>
      <x:c r="V202" s="20" t="str">
        <x:f>IF(A202="","",IF(AND(I202="Approved",O202&lt;TODAY()),"YES","NO"))</x:f>
      </x:c>
    </x:row>
    <x:row r="203">
      <x:c r="A203" s="20"/>
      <x:c r="B203" s="20"/>
      <x:c r="C203" s="20"/>
      <x:c r="D203" s="20"/>
      <x:c r="E203" s="20"/>
      <x:c r="F203" s="20"/>
      <x:c r="G203" s="20"/>
      <x:c r="H203" s="20"/>
      <x:c r="I203" s="20"/>
      <x:c r="J203" s="20"/>
      <x:c r="K203" s="20"/>
      <x:c r="L203" s="23"/>
      <x:c r="M203" s="23"/>
      <x:c r="N203" s="23"/>
      <x:c r="O203" s="23"/>
      <x:c r="P203" s="20"/>
      <x:c r="Q203" s="20"/>
      <x:c r="R203" s="20"/>
      <x:c r="S203" s="23"/>
      <x:c r="T203" s="20"/>
      <x:c r="U203" s="23"/>
      <x:c r="V203" s="20" t="str">
        <x:f>IF(A203="","",IF(AND(I203="Approved",O203&lt;TODAY()),"YES","NO"))</x:f>
      </x:c>
    </x:row>
    <x:row r="204">
      <x:c r="A204" s="21"/>
      <x:c r="B204" s="21"/>
      <x:c r="C204" s="21"/>
      <x:c r="D204" s="21"/>
      <x:c r="E204" s="21"/>
      <x:c r="F204" s="21"/>
      <x:c r="G204" s="21"/>
      <x:c r="H204" s="21"/>
      <x:c r="I204" s="21"/>
      <x:c r="J204" s="21"/>
      <x:c r="K204" s="21"/>
      <x:c r="L204" s="24"/>
      <x:c r="M204" s="24"/>
      <x:c r="N204" s="24"/>
      <x:c r="O204" s="24"/>
      <x:c r="P204" s="21"/>
      <x:c r="Q204" s="21"/>
      <x:c r="R204" s="21"/>
      <x:c r="S204" s="24"/>
      <x:c r="T204" s="21"/>
      <x:c r="U204" s="24"/>
      <x:c r="V204" s="21" t="str">
        <x:f>IF(A204="","",IF(AND(I204="Approved",O204&lt;TODAY()),"YES","NO"))</x:f>
      </x:c>
    </x:row>
  </x:sheetData>
  <x:mergeCells>
    <x:mergeCell ref="A1:V1"/>
    <x:mergeCell ref="A2:V2"/>
  </x:mergeCells>
  <x:conditionalFormatting sqref="A5:V204">
    <x:cfRule type="expression" dxfId="18" priority="1">
      <x:formula>OR($I5="Open",$I5="Blocked",$I5="Failed",$I5="Rejected",$I5="Not Authorised")</x:formula>
    </x:cfRule>
    <x:cfRule type="expression" dxfId="19" priority="2">
      <x:formula>OR($I5="Approved",$I5="Passed",$I5="Closed",$I5="Authorised")</x:formula>
    </x:cfRule>
    <x:cfRule type="expression" dxfId="20" priority="3">
      <x:formula>OR($I5="Pending",$I5="In Progress",$I5="Investigating",$I5="Conditional")</x:formula>
    </x:cfRule>
  </x:conditionalFormatting>
  <x:dataValidations count="3">
    <x:dataValidation type="list" sqref="D5:D204">
      <x:formula1>"Platform,Client,Event,Release Candidate,Capability,Region"</x:formula1>
    </x:dataValidation>
    <x:dataValidation type="list" sqref="H5:H204">
      <x:formula1>"Yes,No"</x:formula1>
    </x:dataValidation>
    <x:dataValidation type="list" sqref="I5:I204">
      <x:formula1>"Pending,Approved,Conditional,Rejected,Expired,Revoked"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c2becd5404040b2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26" hidden="0" customWidth="1"/>
    <x:col min="5" max="5" width="32" hidden="0" customWidth="1"/>
    <x:col min="6" max="6" width="16" hidden="0" customWidth="1"/>
    <x:col min="7" max="7" width="36" hidden="0" customWidth="1"/>
    <x:col min="8" max="8" width="14" hidden="0" customWidth="1"/>
    <x:col min="9" max="9" width="18" hidden="0" customWidth="1"/>
    <x:col min="10" max="10" width="18" hidden="0" customWidth="1"/>
    <x:col min="11" max="11" width="14" hidden="0" customWidth="1"/>
    <x:col min="12" max="12" width="14" hidden="0" customWidth="1"/>
    <x:col min="13" max="13" width="14" hidden="0" customWidth="1"/>
    <x:col min="14" max="14" width="20" hidden="0" customWidth="1"/>
    <x:col min="15" max="15" width="14" hidden="0" customWidth="1"/>
    <x:col min="16" max="16" width="18" hidden="0" customWidth="1"/>
    <x:col min="17" max="17" width="14" hidden="0" customWidth="1"/>
    <x:col min="18" max="18" width="14" hidden="0" customWidth="1"/>
  </x:cols>
  <x:sheetData>
    <x:row r="1" ht="34" customHeight="1">
      <x:c r="A1" s="3" t="str">
        <x:v>EXCEPTIONS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</x:row>
    <x:row r="2" ht="28" customHeight="1">
      <x:c r="A2" s="7" t="str">
        <x:v>Time-limited waivers only. Every exception needs compensating controls, approval and expiry.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  <x:c r="R2" s="7"/>
    </x:row>
    <x:row r="4" ht="32" customHeight="1">
      <x:c r="A4" s="12" t="str">
        <x:v>Exception ID*</x:v>
      </x:c>
      <x:c r="B4" s="12" t="str">
        <x:v>Candidate ID</x:v>
      </x:c>
      <x:c r="C4" s="12" t="str">
        <x:v>Event ID</x:v>
      </x:c>
      <x:c r="D4" s="12" t="str">
        <x:v>Control / Requirement*</x:v>
      </x:c>
      <x:c r="E4" s="12" t="str">
        <x:v>Reason*</x:v>
      </x:c>
      <x:c r="F4" s="12" t="str">
        <x:v>Risk ID*</x:v>
      </x:c>
      <x:c r="G4" s="12" t="str">
        <x:v>Compensating Controls*</x:v>
      </x:c>
      <x:c r="H4" s="12" t="str">
        <x:v>Status*</x:v>
      </x:c>
      <x:c r="I4" s="12" t="str">
        <x:v>Owner*</x:v>
      </x:c>
      <x:c r="J4" s="12" t="str">
        <x:v>Approver*</x:v>
      </x:c>
      <x:c r="K4" s="12" t="str">
        <x:v>Requested Date*</x:v>
      </x:c>
      <x:c r="L4" s="12" t="str">
        <x:v>Approved Date</x:v>
      </x:c>
      <x:c r="M4" s="12" t="str">
        <x:v>Expiry Date*</x:v>
      </x:c>
      <x:c r="N4" s="12" t="str">
        <x:v>Closure Evidence ID</x:v>
      </x:c>
      <x:c r="O4" s="12" t="str">
        <x:v>Closed Date</x:v>
      </x:c>
      <x:c r="P4" s="12" t="str">
        <x:v>Renewal Exception ID</x:v>
      </x:c>
      <x:c r="Q4" s="12" t="str">
        <x:v>Last Updated*</x:v>
      </x:c>
      <x:c r="R4" s="12" t="str">
        <x:v>Expired Active?</x:v>
      </x:c>
    </x:row>
    <x:row r="5">
      <x:c r="A5" s="19"/>
      <x:c r="B5" s="19"/>
      <x:c r="C5" s="19"/>
      <x:c r="D5" s="19"/>
      <x:c r="E5" s="19"/>
      <x:c r="F5" s="19"/>
      <x:c r="G5" s="19"/>
      <x:c r="H5" s="19"/>
      <x:c r="I5" s="19"/>
      <x:c r="J5" s="19"/>
      <x:c r="K5" s="22"/>
      <x:c r="L5" s="22"/>
      <x:c r="M5" s="22"/>
      <x:c r="N5" s="19"/>
      <x:c r="O5" s="22"/>
      <x:c r="P5" s="19"/>
      <x:c r="Q5" s="22"/>
      <x:c r="R5" s="19" t="str">
        <x:f>IF(A5="","",IF(AND(H5="Approved",M5&lt;TODAY()),"YES","NO"))</x:f>
      </x:c>
    </x:row>
    <x:row r="6">
      <x:c r="A6" s="20"/>
      <x:c r="B6" s="20"/>
      <x:c r="C6" s="20"/>
      <x:c r="D6" s="20"/>
      <x:c r="E6" s="20"/>
      <x:c r="F6" s="20"/>
      <x:c r="G6" s="20"/>
      <x:c r="H6" s="20"/>
      <x:c r="I6" s="20"/>
      <x:c r="J6" s="20"/>
      <x:c r="K6" s="23"/>
      <x:c r="L6" s="23"/>
      <x:c r="M6" s="23"/>
      <x:c r="N6" s="20"/>
      <x:c r="O6" s="23"/>
      <x:c r="P6" s="20"/>
      <x:c r="Q6" s="23"/>
      <x:c r="R6" s="20" t="str">
        <x:f>IF(A6="","",IF(AND(H6="Approved",M6&lt;TODAY()),"YES","NO"))</x:f>
      </x:c>
    </x:row>
    <x:row r="7">
      <x:c r="A7" s="20"/>
      <x:c r="B7" s="20"/>
      <x:c r="C7" s="20"/>
      <x:c r="D7" s="20"/>
      <x:c r="E7" s="20"/>
      <x:c r="F7" s="20"/>
      <x:c r="G7" s="20"/>
      <x:c r="H7" s="20"/>
      <x:c r="I7" s="20"/>
      <x:c r="J7" s="20"/>
      <x:c r="K7" s="23"/>
      <x:c r="L7" s="23"/>
      <x:c r="M7" s="23"/>
      <x:c r="N7" s="20"/>
      <x:c r="O7" s="23"/>
      <x:c r="P7" s="20"/>
      <x:c r="Q7" s="23"/>
      <x:c r="R7" s="20" t="str">
        <x:f>IF(A7="","",IF(AND(H7="Approved",M7&lt;TODAY()),"YES","NO"))</x:f>
      </x:c>
    </x:row>
    <x:row r="8">
      <x:c r="A8" s="20"/>
      <x:c r="B8" s="20"/>
      <x:c r="C8" s="20"/>
      <x:c r="D8" s="20"/>
      <x:c r="E8" s="20"/>
      <x:c r="F8" s="20"/>
      <x:c r="G8" s="20"/>
      <x:c r="H8" s="20"/>
      <x:c r="I8" s="20"/>
      <x:c r="J8" s="20"/>
      <x:c r="K8" s="23"/>
      <x:c r="L8" s="23"/>
      <x:c r="M8" s="23"/>
      <x:c r="N8" s="20"/>
      <x:c r="O8" s="23"/>
      <x:c r="P8" s="20"/>
      <x:c r="Q8" s="23"/>
      <x:c r="R8" s="20" t="str">
        <x:f>IF(A8="","",IF(AND(H8="Approved",M8&lt;TODAY()),"YES","NO"))</x:f>
      </x:c>
    </x:row>
    <x:row r="9">
      <x:c r="A9" s="20"/>
      <x:c r="B9" s="20"/>
      <x:c r="C9" s="20"/>
      <x:c r="D9" s="20"/>
      <x:c r="E9" s="20"/>
      <x:c r="F9" s="20"/>
      <x:c r="G9" s="20"/>
      <x:c r="H9" s="20"/>
      <x:c r="I9" s="20"/>
      <x:c r="J9" s="20"/>
      <x:c r="K9" s="23"/>
      <x:c r="L9" s="23"/>
      <x:c r="M9" s="23"/>
      <x:c r="N9" s="20"/>
      <x:c r="O9" s="23"/>
      <x:c r="P9" s="20"/>
      <x:c r="Q9" s="23"/>
      <x:c r="R9" s="20" t="str">
        <x:f>IF(A9="","",IF(AND(H9="Approved",M9&lt;TODAY()),"YES","NO"))</x:f>
      </x:c>
    </x:row>
    <x:row r="10">
      <x:c r="A10" s="20"/>
      <x:c r="B10" s="20"/>
      <x:c r="C10" s="20"/>
      <x:c r="D10" s="20"/>
      <x:c r="E10" s="20"/>
      <x:c r="F10" s="20"/>
      <x:c r="G10" s="20"/>
      <x:c r="H10" s="20"/>
      <x:c r="I10" s="20"/>
      <x:c r="J10" s="20"/>
      <x:c r="K10" s="23"/>
      <x:c r="L10" s="23"/>
      <x:c r="M10" s="23"/>
      <x:c r="N10" s="20"/>
      <x:c r="O10" s="23"/>
      <x:c r="P10" s="20"/>
      <x:c r="Q10" s="23"/>
      <x:c r="R10" s="20" t="str">
        <x:f>IF(A10="","",IF(AND(H10="Approved",M10&lt;TODAY()),"YES","NO"))</x:f>
      </x:c>
    </x:row>
    <x:row r="11">
      <x:c r="A11" s="20"/>
      <x:c r="B11" s="20"/>
      <x:c r="C11" s="20"/>
      <x:c r="D11" s="20"/>
      <x:c r="E11" s="20"/>
      <x:c r="F11" s="20"/>
      <x:c r="G11" s="20"/>
      <x:c r="H11" s="20"/>
      <x:c r="I11" s="20"/>
      <x:c r="J11" s="20"/>
      <x:c r="K11" s="23"/>
      <x:c r="L11" s="23"/>
      <x:c r="M11" s="23"/>
      <x:c r="N11" s="20"/>
      <x:c r="O11" s="23"/>
      <x:c r="P11" s="20"/>
      <x:c r="Q11" s="23"/>
      <x:c r="R11" s="20" t="str">
        <x:f>IF(A11="","",IF(AND(H11="Approved",M11&lt;TODAY()),"YES","NO"))</x:f>
      </x:c>
    </x:row>
    <x:row r="12">
      <x:c r="A12" s="20"/>
      <x:c r="B12" s="20"/>
      <x:c r="C12" s="20"/>
      <x:c r="D12" s="20"/>
      <x:c r="E12" s="20"/>
      <x:c r="F12" s="20"/>
      <x:c r="G12" s="20"/>
      <x:c r="H12" s="20"/>
      <x:c r="I12" s="20"/>
      <x:c r="J12" s="20"/>
      <x:c r="K12" s="23"/>
      <x:c r="L12" s="23"/>
      <x:c r="M12" s="23"/>
      <x:c r="N12" s="20"/>
      <x:c r="O12" s="23"/>
      <x:c r="P12" s="20"/>
      <x:c r="Q12" s="23"/>
      <x:c r="R12" s="20" t="str">
        <x:f>IF(A12="","",IF(AND(H12="Approved",M12&lt;TODAY()),"YES","NO"))</x:f>
      </x:c>
    </x:row>
    <x:row r="13">
      <x:c r="A13" s="20"/>
      <x:c r="B13" s="20"/>
      <x:c r="C13" s="20"/>
      <x:c r="D13" s="20"/>
      <x:c r="E13" s="20"/>
      <x:c r="F13" s="20"/>
      <x:c r="G13" s="20"/>
      <x:c r="H13" s="20"/>
      <x:c r="I13" s="20"/>
      <x:c r="J13" s="20"/>
      <x:c r="K13" s="23"/>
      <x:c r="L13" s="23"/>
      <x:c r="M13" s="23"/>
      <x:c r="N13" s="20"/>
      <x:c r="O13" s="23"/>
      <x:c r="P13" s="20"/>
      <x:c r="Q13" s="23"/>
      <x:c r="R13" s="20" t="str">
        <x:f>IF(A13="","",IF(AND(H13="Approved",M13&lt;TODAY()),"YES","NO"))</x:f>
      </x:c>
    </x:row>
    <x:row r="14">
      <x:c r="A14" s="20"/>
      <x:c r="B14" s="20"/>
      <x:c r="C14" s="20"/>
      <x:c r="D14" s="20"/>
      <x:c r="E14" s="20"/>
      <x:c r="F14" s="20"/>
      <x:c r="G14" s="20"/>
      <x:c r="H14" s="20"/>
      <x:c r="I14" s="20"/>
      <x:c r="J14" s="20"/>
      <x:c r="K14" s="23"/>
      <x:c r="L14" s="23"/>
      <x:c r="M14" s="23"/>
      <x:c r="N14" s="20"/>
      <x:c r="O14" s="23"/>
      <x:c r="P14" s="20"/>
      <x:c r="Q14" s="23"/>
      <x:c r="R14" s="20" t="str">
        <x:f>IF(A14="","",IF(AND(H14="Approved",M14&lt;TODAY()),"YES","NO"))</x:f>
      </x:c>
    </x:row>
    <x:row r="15">
      <x:c r="A15" s="20"/>
      <x:c r="B15" s="20"/>
      <x:c r="C15" s="20"/>
      <x:c r="D15" s="20"/>
      <x:c r="E15" s="20"/>
      <x:c r="F15" s="20"/>
      <x:c r="G15" s="20"/>
      <x:c r="H15" s="20"/>
      <x:c r="I15" s="20"/>
      <x:c r="J15" s="20"/>
      <x:c r="K15" s="23"/>
      <x:c r="L15" s="23"/>
      <x:c r="M15" s="23"/>
      <x:c r="N15" s="20"/>
      <x:c r="O15" s="23"/>
      <x:c r="P15" s="20"/>
      <x:c r="Q15" s="23"/>
      <x:c r="R15" s="20" t="str">
        <x:f>IF(A15="","",IF(AND(H15="Approved",M15&lt;TODAY()),"YES","NO"))</x:f>
      </x:c>
    </x:row>
    <x:row r="16">
      <x:c r="A16" s="20"/>
      <x:c r="B16" s="20"/>
      <x:c r="C16" s="20"/>
      <x:c r="D16" s="20"/>
      <x:c r="E16" s="20"/>
      <x:c r="F16" s="20"/>
      <x:c r="G16" s="20"/>
      <x:c r="H16" s="20"/>
      <x:c r="I16" s="20"/>
      <x:c r="J16" s="20"/>
      <x:c r="K16" s="23"/>
      <x:c r="L16" s="23"/>
      <x:c r="M16" s="23"/>
      <x:c r="N16" s="20"/>
      <x:c r="O16" s="23"/>
      <x:c r="P16" s="20"/>
      <x:c r="Q16" s="23"/>
      <x:c r="R16" s="20" t="str">
        <x:f>IF(A16="","",IF(AND(H16="Approved",M16&lt;TODAY()),"YES","NO"))</x:f>
      </x:c>
    </x:row>
    <x:row r="17">
      <x:c r="A17" s="20"/>
      <x:c r="B17" s="20"/>
      <x:c r="C17" s="20"/>
      <x:c r="D17" s="20"/>
      <x:c r="E17" s="20"/>
      <x:c r="F17" s="20"/>
      <x:c r="G17" s="20"/>
      <x:c r="H17" s="20"/>
      <x:c r="I17" s="20"/>
      <x:c r="J17" s="20"/>
      <x:c r="K17" s="23"/>
      <x:c r="L17" s="23"/>
      <x:c r="M17" s="23"/>
      <x:c r="N17" s="20"/>
      <x:c r="O17" s="23"/>
      <x:c r="P17" s="20"/>
      <x:c r="Q17" s="23"/>
      <x:c r="R17" s="20" t="str">
        <x:f>IF(A17="","",IF(AND(H17="Approved",M17&lt;TODAY()),"YES","NO"))</x:f>
      </x:c>
    </x:row>
    <x:row r="18">
      <x:c r="A18" s="20"/>
      <x:c r="B18" s="20"/>
      <x:c r="C18" s="20"/>
      <x:c r="D18" s="20"/>
      <x:c r="E18" s="20"/>
      <x:c r="F18" s="20"/>
      <x:c r="G18" s="20"/>
      <x:c r="H18" s="20"/>
      <x:c r="I18" s="20"/>
      <x:c r="J18" s="20"/>
      <x:c r="K18" s="23"/>
      <x:c r="L18" s="23"/>
      <x:c r="M18" s="23"/>
      <x:c r="N18" s="20"/>
      <x:c r="O18" s="23"/>
      <x:c r="P18" s="20"/>
      <x:c r="Q18" s="23"/>
      <x:c r="R18" s="20" t="str">
        <x:f>IF(A18="","",IF(AND(H18="Approved",M18&lt;TODAY()),"YES","NO"))</x:f>
      </x:c>
    </x:row>
    <x:row r="19">
      <x:c r="A19" s="20"/>
      <x:c r="B19" s="20"/>
      <x:c r="C19" s="20"/>
      <x:c r="D19" s="20"/>
      <x:c r="E19" s="20"/>
      <x:c r="F19" s="20"/>
      <x:c r="G19" s="20"/>
      <x:c r="H19" s="20"/>
      <x:c r="I19" s="20"/>
      <x:c r="J19" s="20"/>
      <x:c r="K19" s="23"/>
      <x:c r="L19" s="23"/>
      <x:c r="M19" s="23"/>
      <x:c r="N19" s="20"/>
      <x:c r="O19" s="23"/>
      <x:c r="P19" s="20"/>
      <x:c r="Q19" s="23"/>
      <x:c r="R19" s="20" t="str">
        <x:f>IF(A19="","",IF(AND(H19="Approved",M19&lt;TODAY()),"YES","NO"))</x:f>
      </x:c>
    </x:row>
    <x:row r="20">
      <x:c r="A20" s="20"/>
      <x:c r="B20" s="20"/>
      <x:c r="C20" s="20"/>
      <x:c r="D20" s="20"/>
      <x:c r="E20" s="20"/>
      <x:c r="F20" s="20"/>
      <x:c r="G20" s="20"/>
      <x:c r="H20" s="20"/>
      <x:c r="I20" s="20"/>
      <x:c r="J20" s="20"/>
      <x:c r="K20" s="23"/>
      <x:c r="L20" s="23"/>
      <x:c r="M20" s="23"/>
      <x:c r="N20" s="20"/>
      <x:c r="O20" s="23"/>
      <x:c r="P20" s="20"/>
      <x:c r="Q20" s="23"/>
      <x:c r="R20" s="20" t="str">
        <x:f>IF(A20="","",IF(AND(H20="Approved",M20&lt;TODAY()),"YES","NO"))</x:f>
      </x:c>
    </x:row>
    <x:row r="21">
      <x:c r="A21" s="20"/>
      <x:c r="B21" s="20"/>
      <x:c r="C21" s="20"/>
      <x:c r="D21" s="20"/>
      <x:c r="E21" s="20"/>
      <x:c r="F21" s="20"/>
      <x:c r="G21" s="20"/>
      <x:c r="H21" s="20"/>
      <x:c r="I21" s="20"/>
      <x:c r="J21" s="20"/>
      <x:c r="K21" s="23"/>
      <x:c r="L21" s="23"/>
      <x:c r="M21" s="23"/>
      <x:c r="N21" s="20"/>
      <x:c r="O21" s="23"/>
      <x:c r="P21" s="20"/>
      <x:c r="Q21" s="23"/>
      <x:c r="R21" s="20" t="str">
        <x:f>IF(A21="","",IF(AND(H21="Approved",M21&lt;TODAY()),"YES","NO"))</x:f>
      </x:c>
    </x:row>
    <x:row r="22">
      <x:c r="A22" s="20"/>
      <x:c r="B22" s="20"/>
      <x:c r="C22" s="20"/>
      <x:c r="D22" s="20"/>
      <x:c r="E22" s="20"/>
      <x:c r="F22" s="20"/>
      <x:c r="G22" s="20"/>
      <x:c r="H22" s="20"/>
      <x:c r="I22" s="20"/>
      <x:c r="J22" s="20"/>
      <x:c r="K22" s="23"/>
      <x:c r="L22" s="23"/>
      <x:c r="M22" s="23"/>
      <x:c r="N22" s="20"/>
      <x:c r="O22" s="23"/>
      <x:c r="P22" s="20"/>
      <x:c r="Q22" s="23"/>
      <x:c r="R22" s="20" t="str">
        <x:f>IF(A22="","",IF(AND(H22="Approved",M22&lt;TODAY()),"YES","NO"))</x:f>
      </x:c>
    </x:row>
    <x:row r="23">
      <x:c r="A23" s="20"/>
      <x:c r="B23" s="20"/>
      <x:c r="C23" s="20"/>
      <x:c r="D23" s="20"/>
      <x:c r="E23" s="20"/>
      <x:c r="F23" s="20"/>
      <x:c r="G23" s="20"/>
      <x:c r="H23" s="20"/>
      <x:c r="I23" s="20"/>
      <x:c r="J23" s="20"/>
      <x:c r="K23" s="23"/>
      <x:c r="L23" s="23"/>
      <x:c r="M23" s="23"/>
      <x:c r="N23" s="20"/>
      <x:c r="O23" s="23"/>
      <x:c r="P23" s="20"/>
      <x:c r="Q23" s="23"/>
      <x:c r="R23" s="20" t="str">
        <x:f>IF(A23="","",IF(AND(H23="Approved",M23&lt;TODAY()),"YES","NO"))</x:f>
      </x:c>
    </x:row>
    <x:row r="24">
      <x:c r="A24" s="20"/>
      <x:c r="B24" s="20"/>
      <x:c r="C24" s="20"/>
      <x:c r="D24" s="20"/>
      <x:c r="E24" s="20"/>
      <x:c r="F24" s="20"/>
      <x:c r="G24" s="20"/>
      <x:c r="H24" s="20"/>
      <x:c r="I24" s="20"/>
      <x:c r="J24" s="20"/>
      <x:c r="K24" s="23"/>
      <x:c r="L24" s="23"/>
      <x:c r="M24" s="23"/>
      <x:c r="N24" s="20"/>
      <x:c r="O24" s="23"/>
      <x:c r="P24" s="20"/>
      <x:c r="Q24" s="23"/>
      <x:c r="R24" s="20" t="str">
        <x:f>IF(A24="","",IF(AND(H24="Approved",M24&lt;TODAY()),"YES","NO"))</x:f>
      </x:c>
    </x:row>
    <x:row r="25">
      <x:c r="A25" s="20"/>
      <x:c r="B25" s="20"/>
      <x:c r="C25" s="20"/>
      <x:c r="D25" s="20"/>
      <x:c r="E25" s="20"/>
      <x:c r="F25" s="20"/>
      <x:c r="G25" s="20"/>
      <x:c r="H25" s="20"/>
      <x:c r="I25" s="20"/>
      <x:c r="J25" s="20"/>
      <x:c r="K25" s="23"/>
      <x:c r="L25" s="23"/>
      <x:c r="M25" s="23"/>
      <x:c r="N25" s="20"/>
      <x:c r="O25" s="23"/>
      <x:c r="P25" s="20"/>
      <x:c r="Q25" s="23"/>
      <x:c r="R25" s="20" t="str">
        <x:f>IF(A25="","",IF(AND(H25="Approved",M25&lt;TODAY()),"YES","NO"))</x:f>
      </x:c>
    </x:row>
    <x:row r="26">
      <x:c r="A26" s="20"/>
      <x:c r="B26" s="20"/>
      <x:c r="C26" s="20"/>
      <x:c r="D26" s="20"/>
      <x:c r="E26" s="20"/>
      <x:c r="F26" s="20"/>
      <x:c r="G26" s="20"/>
      <x:c r="H26" s="20"/>
      <x:c r="I26" s="20"/>
      <x:c r="J26" s="20"/>
      <x:c r="K26" s="23"/>
      <x:c r="L26" s="23"/>
      <x:c r="M26" s="23"/>
      <x:c r="N26" s="20"/>
      <x:c r="O26" s="23"/>
      <x:c r="P26" s="20"/>
      <x:c r="Q26" s="23"/>
      <x:c r="R26" s="20" t="str">
        <x:f>IF(A26="","",IF(AND(H26="Approved",M26&lt;TODAY()),"YES","NO"))</x:f>
      </x:c>
    </x:row>
    <x:row r="27">
      <x:c r="A27" s="20"/>
      <x:c r="B27" s="20"/>
      <x:c r="C27" s="20"/>
      <x:c r="D27" s="20"/>
      <x:c r="E27" s="20"/>
      <x:c r="F27" s="20"/>
      <x:c r="G27" s="20"/>
      <x:c r="H27" s="20"/>
      <x:c r="I27" s="20"/>
      <x:c r="J27" s="20"/>
      <x:c r="K27" s="23"/>
      <x:c r="L27" s="23"/>
      <x:c r="M27" s="23"/>
      <x:c r="N27" s="20"/>
      <x:c r="O27" s="23"/>
      <x:c r="P27" s="20"/>
      <x:c r="Q27" s="23"/>
      <x:c r="R27" s="20" t="str">
        <x:f>IF(A27="","",IF(AND(H27="Approved",M27&lt;TODAY()),"YES","NO"))</x:f>
      </x:c>
    </x:row>
    <x:row r="28">
      <x:c r="A28" s="20"/>
      <x:c r="B28" s="20"/>
      <x:c r="C28" s="20"/>
      <x:c r="D28" s="20"/>
      <x:c r="E28" s="20"/>
      <x:c r="F28" s="20"/>
      <x:c r="G28" s="20"/>
      <x:c r="H28" s="20"/>
      <x:c r="I28" s="20"/>
      <x:c r="J28" s="20"/>
      <x:c r="K28" s="23"/>
      <x:c r="L28" s="23"/>
      <x:c r="M28" s="23"/>
      <x:c r="N28" s="20"/>
      <x:c r="O28" s="23"/>
      <x:c r="P28" s="20"/>
      <x:c r="Q28" s="23"/>
      <x:c r="R28" s="20" t="str">
        <x:f>IF(A28="","",IF(AND(H28="Approved",M28&lt;TODAY()),"YES","NO"))</x:f>
      </x:c>
    </x:row>
    <x:row r="29">
      <x:c r="A29" s="20"/>
      <x:c r="B29" s="20"/>
      <x:c r="C29" s="20"/>
      <x:c r="D29" s="20"/>
      <x:c r="E29" s="20"/>
      <x:c r="F29" s="20"/>
      <x:c r="G29" s="20"/>
      <x:c r="H29" s="20"/>
      <x:c r="I29" s="20"/>
      <x:c r="J29" s="20"/>
      <x:c r="K29" s="23"/>
      <x:c r="L29" s="23"/>
      <x:c r="M29" s="23"/>
      <x:c r="N29" s="20"/>
      <x:c r="O29" s="23"/>
      <x:c r="P29" s="20"/>
      <x:c r="Q29" s="23"/>
      <x:c r="R29" s="20" t="str">
        <x:f>IF(A29="","",IF(AND(H29="Approved",M29&lt;TODAY()),"YES","NO"))</x:f>
      </x:c>
    </x:row>
    <x:row r="30">
      <x:c r="A30" s="20"/>
      <x:c r="B30" s="20"/>
      <x:c r="C30" s="20"/>
      <x:c r="D30" s="20"/>
      <x:c r="E30" s="20"/>
      <x:c r="F30" s="20"/>
      <x:c r="G30" s="20"/>
      <x:c r="H30" s="20"/>
      <x:c r="I30" s="20"/>
      <x:c r="J30" s="20"/>
      <x:c r="K30" s="23"/>
      <x:c r="L30" s="23"/>
      <x:c r="M30" s="23"/>
      <x:c r="N30" s="20"/>
      <x:c r="O30" s="23"/>
      <x:c r="P30" s="20"/>
      <x:c r="Q30" s="23"/>
      <x:c r="R30" s="20" t="str">
        <x:f>IF(A30="","",IF(AND(H30="Approved",M30&lt;TODAY()),"YES","NO"))</x:f>
      </x:c>
    </x:row>
    <x:row r="31">
      <x:c r="A31" s="20"/>
      <x:c r="B31" s="20"/>
      <x:c r="C31" s="20"/>
      <x:c r="D31" s="20"/>
      <x:c r="E31" s="20"/>
      <x:c r="F31" s="20"/>
      <x:c r="G31" s="20"/>
      <x:c r="H31" s="20"/>
      <x:c r="I31" s="20"/>
      <x:c r="J31" s="20"/>
      <x:c r="K31" s="23"/>
      <x:c r="L31" s="23"/>
      <x:c r="M31" s="23"/>
      <x:c r="N31" s="20"/>
      <x:c r="O31" s="23"/>
      <x:c r="P31" s="20"/>
      <x:c r="Q31" s="23"/>
      <x:c r="R31" s="20" t="str">
        <x:f>IF(A31="","",IF(AND(H31="Approved",M31&lt;TODAY()),"YES","NO"))</x:f>
      </x:c>
    </x:row>
    <x:row r="32">
      <x:c r="A32" s="20"/>
      <x:c r="B32" s="20"/>
      <x:c r="C32" s="20"/>
      <x:c r="D32" s="20"/>
      <x:c r="E32" s="20"/>
      <x:c r="F32" s="20"/>
      <x:c r="G32" s="20"/>
      <x:c r="H32" s="20"/>
      <x:c r="I32" s="20"/>
      <x:c r="J32" s="20"/>
      <x:c r="K32" s="23"/>
      <x:c r="L32" s="23"/>
      <x:c r="M32" s="23"/>
      <x:c r="N32" s="20"/>
      <x:c r="O32" s="23"/>
      <x:c r="P32" s="20"/>
      <x:c r="Q32" s="23"/>
      <x:c r="R32" s="20" t="str">
        <x:f>IF(A32="","",IF(AND(H32="Approved",M32&lt;TODAY()),"YES","NO"))</x:f>
      </x:c>
    </x:row>
    <x:row r="33">
      <x:c r="A33" s="20"/>
      <x:c r="B33" s="20"/>
      <x:c r="C33" s="20"/>
      <x:c r="D33" s="20"/>
      <x:c r="E33" s="20"/>
      <x:c r="F33" s="20"/>
      <x:c r="G33" s="20"/>
      <x:c r="H33" s="20"/>
      <x:c r="I33" s="20"/>
      <x:c r="J33" s="20"/>
      <x:c r="K33" s="23"/>
      <x:c r="L33" s="23"/>
      <x:c r="M33" s="23"/>
      <x:c r="N33" s="20"/>
      <x:c r="O33" s="23"/>
      <x:c r="P33" s="20"/>
      <x:c r="Q33" s="23"/>
      <x:c r="R33" s="20" t="str">
        <x:f>IF(A33="","",IF(AND(H33="Approved",M33&lt;TODAY()),"YES","NO"))</x:f>
      </x:c>
    </x:row>
    <x:row r="34">
      <x:c r="A34" s="20"/>
      <x:c r="B34" s="20"/>
      <x:c r="C34" s="20"/>
      <x:c r="D34" s="20"/>
      <x:c r="E34" s="20"/>
      <x:c r="F34" s="20"/>
      <x:c r="G34" s="20"/>
      <x:c r="H34" s="20"/>
      <x:c r="I34" s="20"/>
      <x:c r="J34" s="20"/>
      <x:c r="K34" s="23"/>
      <x:c r="L34" s="23"/>
      <x:c r="M34" s="23"/>
      <x:c r="N34" s="20"/>
      <x:c r="O34" s="23"/>
      <x:c r="P34" s="20"/>
      <x:c r="Q34" s="23"/>
      <x:c r="R34" s="20" t="str">
        <x:f>IF(A34="","",IF(AND(H34="Approved",M34&lt;TODAY()),"YES","NO"))</x:f>
      </x:c>
    </x:row>
    <x:row r="35">
      <x:c r="A35" s="20"/>
      <x:c r="B35" s="20"/>
      <x:c r="C35" s="20"/>
      <x:c r="D35" s="20"/>
      <x:c r="E35" s="20"/>
      <x:c r="F35" s="20"/>
      <x:c r="G35" s="20"/>
      <x:c r="H35" s="20"/>
      <x:c r="I35" s="20"/>
      <x:c r="J35" s="20"/>
      <x:c r="K35" s="23"/>
      <x:c r="L35" s="23"/>
      <x:c r="M35" s="23"/>
      <x:c r="N35" s="20"/>
      <x:c r="O35" s="23"/>
      <x:c r="P35" s="20"/>
      <x:c r="Q35" s="23"/>
      <x:c r="R35" s="20" t="str">
        <x:f>IF(A35="","",IF(AND(H35="Approved",M35&lt;TODAY()),"YES","NO"))</x:f>
      </x:c>
    </x:row>
    <x:row r="36">
      <x:c r="A36" s="20"/>
      <x:c r="B36" s="20"/>
      <x:c r="C36" s="20"/>
      <x:c r="D36" s="20"/>
      <x:c r="E36" s="20"/>
      <x:c r="F36" s="20"/>
      <x:c r="G36" s="20"/>
      <x:c r="H36" s="20"/>
      <x:c r="I36" s="20"/>
      <x:c r="J36" s="20"/>
      <x:c r="K36" s="23"/>
      <x:c r="L36" s="23"/>
      <x:c r="M36" s="23"/>
      <x:c r="N36" s="20"/>
      <x:c r="O36" s="23"/>
      <x:c r="P36" s="20"/>
      <x:c r="Q36" s="23"/>
      <x:c r="R36" s="20" t="str">
        <x:f>IF(A36="","",IF(AND(H36="Approved",M36&lt;TODAY()),"YES","NO"))</x:f>
      </x:c>
    </x:row>
    <x:row r="37">
      <x:c r="A37" s="20"/>
      <x:c r="B37" s="20"/>
      <x:c r="C37" s="20"/>
      <x:c r="D37" s="20"/>
      <x:c r="E37" s="20"/>
      <x:c r="F37" s="20"/>
      <x:c r="G37" s="20"/>
      <x:c r="H37" s="20"/>
      <x:c r="I37" s="20"/>
      <x:c r="J37" s="20"/>
      <x:c r="K37" s="23"/>
      <x:c r="L37" s="23"/>
      <x:c r="M37" s="23"/>
      <x:c r="N37" s="20"/>
      <x:c r="O37" s="23"/>
      <x:c r="P37" s="20"/>
      <x:c r="Q37" s="23"/>
      <x:c r="R37" s="20" t="str">
        <x:f>IF(A37="","",IF(AND(H37="Approved",M37&lt;TODAY()),"YES","NO"))</x:f>
      </x:c>
    </x:row>
    <x:row r="38">
      <x:c r="A38" s="20"/>
      <x:c r="B38" s="20"/>
      <x:c r="C38" s="20"/>
      <x:c r="D38" s="20"/>
      <x:c r="E38" s="20"/>
      <x:c r="F38" s="20"/>
      <x:c r="G38" s="20"/>
      <x:c r="H38" s="20"/>
      <x:c r="I38" s="20"/>
      <x:c r="J38" s="20"/>
      <x:c r="K38" s="23"/>
      <x:c r="L38" s="23"/>
      <x:c r="M38" s="23"/>
      <x:c r="N38" s="20"/>
      <x:c r="O38" s="23"/>
      <x:c r="P38" s="20"/>
      <x:c r="Q38" s="23"/>
      <x:c r="R38" s="20" t="str">
        <x:f>IF(A38="","",IF(AND(H38="Approved",M38&lt;TODAY()),"YES","NO"))</x:f>
      </x:c>
    </x:row>
    <x:row r="39">
      <x:c r="A39" s="20"/>
      <x:c r="B39" s="20"/>
      <x:c r="C39" s="20"/>
      <x:c r="D39" s="20"/>
      <x:c r="E39" s="20"/>
      <x:c r="F39" s="20"/>
      <x:c r="G39" s="20"/>
      <x:c r="H39" s="20"/>
      <x:c r="I39" s="20"/>
      <x:c r="J39" s="20"/>
      <x:c r="K39" s="23"/>
      <x:c r="L39" s="23"/>
      <x:c r="M39" s="23"/>
      <x:c r="N39" s="20"/>
      <x:c r="O39" s="23"/>
      <x:c r="P39" s="20"/>
      <x:c r="Q39" s="23"/>
      <x:c r="R39" s="20" t="str">
        <x:f>IF(A39="","",IF(AND(H39="Approved",M39&lt;TODAY()),"YES","NO"))</x:f>
      </x:c>
    </x:row>
    <x:row r="40">
      <x:c r="A40" s="20"/>
      <x:c r="B40" s="20"/>
      <x:c r="C40" s="20"/>
      <x:c r="D40" s="20"/>
      <x:c r="E40" s="20"/>
      <x:c r="F40" s="20"/>
      <x:c r="G40" s="20"/>
      <x:c r="H40" s="20"/>
      <x:c r="I40" s="20"/>
      <x:c r="J40" s="20"/>
      <x:c r="K40" s="23"/>
      <x:c r="L40" s="23"/>
      <x:c r="M40" s="23"/>
      <x:c r="N40" s="20"/>
      <x:c r="O40" s="23"/>
      <x:c r="P40" s="20"/>
      <x:c r="Q40" s="23"/>
      <x:c r="R40" s="20" t="str">
        <x:f>IF(A40="","",IF(AND(H40="Approved",M40&lt;TODAY()),"YES","NO"))</x:f>
      </x:c>
    </x:row>
    <x:row r="41">
      <x:c r="A41" s="20"/>
      <x:c r="B41" s="20"/>
      <x:c r="C41" s="20"/>
      <x:c r="D41" s="20"/>
      <x:c r="E41" s="20"/>
      <x:c r="F41" s="20"/>
      <x:c r="G41" s="20"/>
      <x:c r="H41" s="20"/>
      <x:c r="I41" s="20"/>
      <x:c r="J41" s="20"/>
      <x:c r="K41" s="23"/>
      <x:c r="L41" s="23"/>
      <x:c r="M41" s="23"/>
      <x:c r="N41" s="20"/>
      <x:c r="O41" s="23"/>
      <x:c r="P41" s="20"/>
      <x:c r="Q41" s="23"/>
      <x:c r="R41" s="20" t="str">
        <x:f>IF(A41="","",IF(AND(H41="Approved",M41&lt;TODAY()),"YES","NO"))</x:f>
      </x:c>
    </x:row>
    <x:row r="42">
      <x:c r="A42" s="20"/>
      <x:c r="B42" s="20"/>
      <x:c r="C42" s="20"/>
      <x:c r="D42" s="20"/>
      <x:c r="E42" s="20"/>
      <x:c r="F42" s="20"/>
      <x:c r="G42" s="20"/>
      <x:c r="H42" s="20"/>
      <x:c r="I42" s="20"/>
      <x:c r="J42" s="20"/>
      <x:c r="K42" s="23"/>
      <x:c r="L42" s="23"/>
      <x:c r="M42" s="23"/>
      <x:c r="N42" s="20"/>
      <x:c r="O42" s="23"/>
      <x:c r="P42" s="20"/>
      <x:c r="Q42" s="23"/>
      <x:c r="R42" s="20" t="str">
        <x:f>IF(A42="","",IF(AND(H42="Approved",M42&lt;TODAY()),"YES","NO"))</x:f>
      </x:c>
    </x:row>
    <x:row r="43">
      <x:c r="A43" s="20"/>
      <x:c r="B43" s="20"/>
      <x:c r="C43" s="20"/>
      <x:c r="D43" s="20"/>
      <x:c r="E43" s="20"/>
      <x:c r="F43" s="20"/>
      <x:c r="G43" s="20"/>
      <x:c r="H43" s="20"/>
      <x:c r="I43" s="20"/>
      <x:c r="J43" s="20"/>
      <x:c r="K43" s="23"/>
      <x:c r="L43" s="23"/>
      <x:c r="M43" s="23"/>
      <x:c r="N43" s="20"/>
      <x:c r="O43" s="23"/>
      <x:c r="P43" s="20"/>
      <x:c r="Q43" s="23"/>
      <x:c r="R43" s="20" t="str">
        <x:f>IF(A43="","",IF(AND(H43="Approved",M43&lt;TODAY()),"YES","NO"))</x:f>
      </x:c>
    </x:row>
    <x:row r="44">
      <x:c r="A44" s="20"/>
      <x:c r="B44" s="20"/>
      <x:c r="C44" s="20"/>
      <x:c r="D44" s="20"/>
      <x:c r="E44" s="20"/>
      <x:c r="F44" s="20"/>
      <x:c r="G44" s="20"/>
      <x:c r="H44" s="20"/>
      <x:c r="I44" s="20"/>
      <x:c r="J44" s="20"/>
      <x:c r="K44" s="23"/>
      <x:c r="L44" s="23"/>
      <x:c r="M44" s="23"/>
      <x:c r="N44" s="20"/>
      <x:c r="O44" s="23"/>
      <x:c r="P44" s="20"/>
      <x:c r="Q44" s="23"/>
      <x:c r="R44" s="20" t="str">
        <x:f>IF(A44="","",IF(AND(H44="Approved",M44&lt;TODAY()),"YES","NO"))</x:f>
      </x:c>
    </x:row>
    <x:row r="45">
      <x:c r="A45" s="20"/>
      <x:c r="B45" s="20"/>
      <x:c r="C45" s="20"/>
      <x:c r="D45" s="20"/>
      <x:c r="E45" s="20"/>
      <x:c r="F45" s="20"/>
      <x:c r="G45" s="20"/>
      <x:c r="H45" s="20"/>
      <x:c r="I45" s="20"/>
      <x:c r="J45" s="20"/>
      <x:c r="K45" s="23"/>
      <x:c r="L45" s="23"/>
      <x:c r="M45" s="23"/>
      <x:c r="N45" s="20"/>
      <x:c r="O45" s="23"/>
      <x:c r="P45" s="20"/>
      <x:c r="Q45" s="23"/>
      <x:c r="R45" s="20" t="str">
        <x:f>IF(A45="","",IF(AND(H45="Approved",M45&lt;TODAY()),"YES","NO"))</x:f>
      </x:c>
    </x:row>
    <x:row r="46">
      <x:c r="A46" s="20"/>
      <x:c r="B46" s="20"/>
      <x:c r="C46" s="20"/>
      <x:c r="D46" s="20"/>
      <x:c r="E46" s="20"/>
      <x:c r="F46" s="20"/>
      <x:c r="G46" s="20"/>
      <x:c r="H46" s="20"/>
      <x:c r="I46" s="20"/>
      <x:c r="J46" s="20"/>
      <x:c r="K46" s="23"/>
      <x:c r="L46" s="23"/>
      <x:c r="M46" s="23"/>
      <x:c r="N46" s="20"/>
      <x:c r="O46" s="23"/>
      <x:c r="P46" s="20"/>
      <x:c r="Q46" s="23"/>
      <x:c r="R46" s="20" t="str">
        <x:f>IF(A46="","",IF(AND(H46="Approved",M46&lt;TODAY()),"YES","NO"))</x:f>
      </x:c>
    </x:row>
    <x:row r="47">
      <x:c r="A47" s="20"/>
      <x:c r="B47" s="20"/>
      <x:c r="C47" s="20"/>
      <x:c r="D47" s="20"/>
      <x:c r="E47" s="20"/>
      <x:c r="F47" s="20"/>
      <x:c r="G47" s="20"/>
      <x:c r="H47" s="20"/>
      <x:c r="I47" s="20"/>
      <x:c r="J47" s="20"/>
      <x:c r="K47" s="23"/>
      <x:c r="L47" s="23"/>
      <x:c r="M47" s="23"/>
      <x:c r="N47" s="20"/>
      <x:c r="O47" s="23"/>
      <x:c r="P47" s="20"/>
      <x:c r="Q47" s="23"/>
      <x:c r="R47" s="20" t="str">
        <x:f>IF(A47="","",IF(AND(H47="Approved",M47&lt;TODAY()),"YES","NO"))</x:f>
      </x:c>
    </x:row>
    <x:row r="48">
      <x:c r="A48" s="20"/>
      <x:c r="B48" s="20"/>
      <x:c r="C48" s="20"/>
      <x:c r="D48" s="20"/>
      <x:c r="E48" s="20"/>
      <x:c r="F48" s="20"/>
      <x:c r="G48" s="20"/>
      <x:c r="H48" s="20"/>
      <x:c r="I48" s="20"/>
      <x:c r="J48" s="20"/>
      <x:c r="K48" s="23"/>
      <x:c r="L48" s="23"/>
      <x:c r="M48" s="23"/>
      <x:c r="N48" s="20"/>
      <x:c r="O48" s="23"/>
      <x:c r="P48" s="20"/>
      <x:c r="Q48" s="23"/>
      <x:c r="R48" s="20" t="str">
        <x:f>IF(A48="","",IF(AND(H48="Approved",M48&lt;TODAY()),"YES","NO"))</x:f>
      </x:c>
    </x:row>
    <x:row r="49">
      <x:c r="A49" s="20"/>
      <x:c r="B49" s="20"/>
      <x:c r="C49" s="20"/>
      <x:c r="D49" s="20"/>
      <x:c r="E49" s="20"/>
      <x:c r="F49" s="20"/>
      <x:c r="G49" s="20"/>
      <x:c r="H49" s="20"/>
      <x:c r="I49" s="20"/>
      <x:c r="J49" s="20"/>
      <x:c r="K49" s="23"/>
      <x:c r="L49" s="23"/>
      <x:c r="M49" s="23"/>
      <x:c r="N49" s="20"/>
      <x:c r="O49" s="23"/>
      <x:c r="P49" s="20"/>
      <x:c r="Q49" s="23"/>
      <x:c r="R49" s="20" t="str">
        <x:f>IF(A49="","",IF(AND(H49="Approved",M49&lt;TODAY()),"YES","NO"))</x:f>
      </x:c>
    </x:row>
    <x:row r="50">
      <x:c r="A50" s="20"/>
      <x:c r="B50" s="20"/>
      <x:c r="C50" s="20"/>
      <x:c r="D50" s="20"/>
      <x:c r="E50" s="20"/>
      <x:c r="F50" s="20"/>
      <x:c r="G50" s="20"/>
      <x:c r="H50" s="20"/>
      <x:c r="I50" s="20"/>
      <x:c r="J50" s="20"/>
      <x:c r="K50" s="23"/>
      <x:c r="L50" s="23"/>
      <x:c r="M50" s="23"/>
      <x:c r="N50" s="20"/>
      <x:c r="O50" s="23"/>
      <x:c r="P50" s="20"/>
      <x:c r="Q50" s="23"/>
      <x:c r="R50" s="20" t="str">
        <x:f>IF(A50="","",IF(AND(H50="Approved",M50&lt;TODAY()),"YES","NO"))</x:f>
      </x:c>
    </x:row>
    <x:row r="51">
      <x:c r="A51" s="20"/>
      <x:c r="B51" s="20"/>
      <x:c r="C51" s="20"/>
      <x:c r="D51" s="20"/>
      <x:c r="E51" s="20"/>
      <x:c r="F51" s="20"/>
      <x:c r="G51" s="20"/>
      <x:c r="H51" s="20"/>
      <x:c r="I51" s="20"/>
      <x:c r="J51" s="20"/>
      <x:c r="K51" s="23"/>
      <x:c r="L51" s="23"/>
      <x:c r="M51" s="23"/>
      <x:c r="N51" s="20"/>
      <x:c r="O51" s="23"/>
      <x:c r="P51" s="20"/>
      <x:c r="Q51" s="23"/>
      <x:c r="R51" s="20" t="str">
        <x:f>IF(A51="","",IF(AND(H51="Approved",M51&lt;TODAY()),"YES","NO"))</x:f>
      </x:c>
    </x:row>
    <x:row r="52">
      <x:c r="A52" s="20"/>
      <x:c r="B52" s="20"/>
      <x:c r="C52" s="20"/>
      <x:c r="D52" s="20"/>
      <x:c r="E52" s="20"/>
      <x:c r="F52" s="20"/>
      <x:c r="G52" s="20"/>
      <x:c r="H52" s="20"/>
      <x:c r="I52" s="20"/>
      <x:c r="J52" s="20"/>
      <x:c r="K52" s="23"/>
      <x:c r="L52" s="23"/>
      <x:c r="M52" s="23"/>
      <x:c r="N52" s="20"/>
      <x:c r="O52" s="23"/>
      <x:c r="P52" s="20"/>
      <x:c r="Q52" s="23"/>
      <x:c r="R52" s="20" t="str">
        <x:f>IF(A52="","",IF(AND(H52="Approved",M52&lt;TODAY()),"YES","NO"))</x:f>
      </x:c>
    </x:row>
    <x:row r="53">
      <x:c r="A53" s="20"/>
      <x:c r="B53" s="20"/>
      <x:c r="C53" s="20"/>
      <x:c r="D53" s="20"/>
      <x:c r="E53" s="20"/>
      <x:c r="F53" s="20"/>
      <x:c r="G53" s="20"/>
      <x:c r="H53" s="20"/>
      <x:c r="I53" s="20"/>
      <x:c r="J53" s="20"/>
      <x:c r="K53" s="23"/>
      <x:c r="L53" s="23"/>
      <x:c r="M53" s="23"/>
      <x:c r="N53" s="20"/>
      <x:c r="O53" s="23"/>
      <x:c r="P53" s="20"/>
      <x:c r="Q53" s="23"/>
      <x:c r="R53" s="20" t="str">
        <x:f>IF(A53="","",IF(AND(H53="Approved",M53&lt;TODAY()),"YES","NO"))</x:f>
      </x:c>
    </x:row>
    <x:row r="54">
      <x:c r="A54" s="20"/>
      <x:c r="B54" s="20"/>
      <x:c r="C54" s="20"/>
      <x:c r="D54" s="20"/>
      <x:c r="E54" s="20"/>
      <x:c r="F54" s="20"/>
      <x:c r="G54" s="20"/>
      <x:c r="H54" s="20"/>
      <x:c r="I54" s="20"/>
      <x:c r="J54" s="20"/>
      <x:c r="K54" s="23"/>
      <x:c r="L54" s="23"/>
      <x:c r="M54" s="23"/>
      <x:c r="N54" s="20"/>
      <x:c r="O54" s="23"/>
      <x:c r="P54" s="20"/>
      <x:c r="Q54" s="23"/>
      <x:c r="R54" s="20" t="str">
        <x:f>IF(A54="","",IF(AND(H54="Approved",M54&lt;TODAY()),"YES","NO"))</x:f>
      </x:c>
    </x:row>
    <x:row r="55">
      <x:c r="A55" s="20"/>
      <x:c r="B55" s="20"/>
      <x:c r="C55" s="20"/>
      <x:c r="D55" s="20"/>
      <x:c r="E55" s="20"/>
      <x:c r="F55" s="20"/>
      <x:c r="G55" s="20"/>
      <x:c r="H55" s="20"/>
      <x:c r="I55" s="20"/>
      <x:c r="J55" s="20"/>
      <x:c r="K55" s="23"/>
      <x:c r="L55" s="23"/>
      <x:c r="M55" s="23"/>
      <x:c r="N55" s="20"/>
      <x:c r="O55" s="23"/>
      <x:c r="P55" s="20"/>
      <x:c r="Q55" s="23"/>
      <x:c r="R55" s="20" t="str">
        <x:f>IF(A55="","",IF(AND(H55="Approved",M55&lt;TODAY()),"YES","NO"))</x:f>
      </x:c>
    </x:row>
    <x:row r="56">
      <x:c r="A56" s="20"/>
      <x:c r="B56" s="20"/>
      <x:c r="C56" s="20"/>
      <x:c r="D56" s="20"/>
      <x:c r="E56" s="20"/>
      <x:c r="F56" s="20"/>
      <x:c r="G56" s="20"/>
      <x:c r="H56" s="20"/>
      <x:c r="I56" s="20"/>
      <x:c r="J56" s="20"/>
      <x:c r="K56" s="23"/>
      <x:c r="L56" s="23"/>
      <x:c r="M56" s="23"/>
      <x:c r="N56" s="20"/>
      <x:c r="O56" s="23"/>
      <x:c r="P56" s="20"/>
      <x:c r="Q56" s="23"/>
      <x:c r="R56" s="20" t="str">
        <x:f>IF(A56="","",IF(AND(H56="Approved",M56&lt;TODAY()),"YES","NO"))</x:f>
      </x:c>
    </x:row>
    <x:row r="57">
      <x:c r="A57" s="20"/>
      <x:c r="B57" s="20"/>
      <x:c r="C57" s="20"/>
      <x:c r="D57" s="20"/>
      <x:c r="E57" s="20"/>
      <x:c r="F57" s="20"/>
      <x:c r="G57" s="20"/>
      <x:c r="H57" s="20"/>
      <x:c r="I57" s="20"/>
      <x:c r="J57" s="20"/>
      <x:c r="K57" s="23"/>
      <x:c r="L57" s="23"/>
      <x:c r="M57" s="23"/>
      <x:c r="N57" s="20"/>
      <x:c r="O57" s="23"/>
      <x:c r="P57" s="20"/>
      <x:c r="Q57" s="23"/>
      <x:c r="R57" s="20" t="str">
        <x:f>IF(A57="","",IF(AND(H57="Approved",M57&lt;TODAY()),"YES","NO"))</x:f>
      </x:c>
    </x:row>
    <x:row r="58">
      <x:c r="A58" s="20"/>
      <x:c r="B58" s="20"/>
      <x:c r="C58" s="20"/>
      <x:c r="D58" s="20"/>
      <x:c r="E58" s="20"/>
      <x:c r="F58" s="20"/>
      <x:c r="G58" s="20"/>
      <x:c r="H58" s="20"/>
      <x:c r="I58" s="20"/>
      <x:c r="J58" s="20"/>
      <x:c r="K58" s="23"/>
      <x:c r="L58" s="23"/>
      <x:c r="M58" s="23"/>
      <x:c r="N58" s="20"/>
      <x:c r="O58" s="23"/>
      <x:c r="P58" s="20"/>
      <x:c r="Q58" s="23"/>
      <x:c r="R58" s="20" t="str">
        <x:f>IF(A58="","",IF(AND(H58="Approved",M58&lt;TODAY()),"YES","NO"))</x:f>
      </x:c>
    </x:row>
    <x:row r="59">
      <x:c r="A59" s="20"/>
      <x:c r="B59" s="20"/>
      <x:c r="C59" s="20"/>
      <x:c r="D59" s="20"/>
      <x:c r="E59" s="20"/>
      <x:c r="F59" s="20"/>
      <x:c r="G59" s="20"/>
      <x:c r="H59" s="20"/>
      <x:c r="I59" s="20"/>
      <x:c r="J59" s="20"/>
      <x:c r="K59" s="23"/>
      <x:c r="L59" s="23"/>
      <x:c r="M59" s="23"/>
      <x:c r="N59" s="20"/>
      <x:c r="O59" s="23"/>
      <x:c r="P59" s="20"/>
      <x:c r="Q59" s="23"/>
      <x:c r="R59" s="20" t="str">
        <x:f>IF(A59="","",IF(AND(H59="Approved",M59&lt;TODAY()),"YES","NO"))</x:f>
      </x:c>
    </x:row>
    <x:row r="60">
      <x:c r="A60" s="20"/>
      <x:c r="B60" s="20"/>
      <x:c r="C60" s="20"/>
      <x:c r="D60" s="20"/>
      <x:c r="E60" s="20"/>
      <x:c r="F60" s="20"/>
      <x:c r="G60" s="20"/>
      <x:c r="H60" s="20"/>
      <x:c r="I60" s="20"/>
      <x:c r="J60" s="20"/>
      <x:c r="K60" s="23"/>
      <x:c r="L60" s="23"/>
      <x:c r="M60" s="23"/>
      <x:c r="N60" s="20"/>
      <x:c r="O60" s="23"/>
      <x:c r="P60" s="20"/>
      <x:c r="Q60" s="23"/>
      <x:c r="R60" s="20" t="str">
        <x:f>IF(A60="","",IF(AND(H60="Approved",M60&lt;TODAY()),"YES","NO"))</x:f>
      </x:c>
    </x:row>
    <x:row r="61">
      <x:c r="A61" s="20"/>
      <x:c r="B61" s="20"/>
      <x:c r="C61" s="20"/>
      <x:c r="D61" s="20"/>
      <x:c r="E61" s="20"/>
      <x:c r="F61" s="20"/>
      <x:c r="G61" s="20"/>
      <x:c r="H61" s="20"/>
      <x:c r="I61" s="20"/>
      <x:c r="J61" s="20"/>
      <x:c r="K61" s="23"/>
      <x:c r="L61" s="23"/>
      <x:c r="M61" s="23"/>
      <x:c r="N61" s="20"/>
      <x:c r="O61" s="23"/>
      <x:c r="P61" s="20"/>
      <x:c r="Q61" s="23"/>
      <x:c r="R61" s="20" t="str">
        <x:f>IF(A61="","",IF(AND(H61="Approved",M61&lt;TODAY()),"YES","NO"))</x:f>
      </x:c>
    </x:row>
    <x:row r="62">
      <x:c r="A62" s="20"/>
      <x:c r="B62" s="20"/>
      <x:c r="C62" s="20"/>
      <x:c r="D62" s="20"/>
      <x:c r="E62" s="20"/>
      <x:c r="F62" s="20"/>
      <x:c r="G62" s="20"/>
      <x:c r="H62" s="20"/>
      <x:c r="I62" s="20"/>
      <x:c r="J62" s="20"/>
      <x:c r="K62" s="23"/>
      <x:c r="L62" s="23"/>
      <x:c r="M62" s="23"/>
      <x:c r="N62" s="20"/>
      <x:c r="O62" s="23"/>
      <x:c r="P62" s="20"/>
      <x:c r="Q62" s="23"/>
      <x:c r="R62" s="20" t="str">
        <x:f>IF(A62="","",IF(AND(H62="Approved",M62&lt;TODAY()),"YES","NO"))</x:f>
      </x:c>
    </x:row>
    <x:row r="63">
      <x:c r="A63" s="20"/>
      <x:c r="B63" s="20"/>
      <x:c r="C63" s="20"/>
      <x:c r="D63" s="20"/>
      <x:c r="E63" s="20"/>
      <x:c r="F63" s="20"/>
      <x:c r="G63" s="20"/>
      <x:c r="H63" s="20"/>
      <x:c r="I63" s="20"/>
      <x:c r="J63" s="20"/>
      <x:c r="K63" s="23"/>
      <x:c r="L63" s="23"/>
      <x:c r="M63" s="23"/>
      <x:c r="N63" s="20"/>
      <x:c r="O63" s="23"/>
      <x:c r="P63" s="20"/>
      <x:c r="Q63" s="23"/>
      <x:c r="R63" s="20" t="str">
        <x:f>IF(A63="","",IF(AND(H63="Approved",M63&lt;TODAY()),"YES","NO"))</x:f>
      </x:c>
    </x:row>
    <x:row r="64">
      <x:c r="A64" s="20"/>
      <x:c r="B64" s="20"/>
      <x:c r="C64" s="20"/>
      <x:c r="D64" s="20"/>
      <x:c r="E64" s="20"/>
      <x:c r="F64" s="20"/>
      <x:c r="G64" s="20"/>
      <x:c r="H64" s="20"/>
      <x:c r="I64" s="20"/>
      <x:c r="J64" s="20"/>
      <x:c r="K64" s="23"/>
      <x:c r="L64" s="23"/>
      <x:c r="M64" s="23"/>
      <x:c r="N64" s="20"/>
      <x:c r="O64" s="23"/>
      <x:c r="P64" s="20"/>
      <x:c r="Q64" s="23"/>
      <x:c r="R64" s="20" t="str">
        <x:f>IF(A64="","",IF(AND(H64="Approved",M64&lt;TODAY()),"YES","NO"))</x:f>
      </x:c>
    </x:row>
    <x:row r="65">
      <x:c r="A65" s="20"/>
      <x:c r="B65" s="20"/>
      <x:c r="C65" s="20"/>
      <x:c r="D65" s="20"/>
      <x:c r="E65" s="20"/>
      <x:c r="F65" s="20"/>
      <x:c r="G65" s="20"/>
      <x:c r="H65" s="20"/>
      <x:c r="I65" s="20"/>
      <x:c r="J65" s="20"/>
      <x:c r="K65" s="23"/>
      <x:c r="L65" s="23"/>
      <x:c r="M65" s="23"/>
      <x:c r="N65" s="20"/>
      <x:c r="O65" s="23"/>
      <x:c r="P65" s="20"/>
      <x:c r="Q65" s="23"/>
      <x:c r="R65" s="20" t="str">
        <x:f>IF(A65="","",IF(AND(H65="Approved",M65&lt;TODAY()),"YES","NO"))</x:f>
      </x:c>
    </x:row>
    <x:row r="66">
      <x:c r="A66" s="20"/>
      <x:c r="B66" s="20"/>
      <x:c r="C66" s="20"/>
      <x:c r="D66" s="20"/>
      <x:c r="E66" s="20"/>
      <x:c r="F66" s="20"/>
      <x:c r="G66" s="20"/>
      <x:c r="H66" s="20"/>
      <x:c r="I66" s="20"/>
      <x:c r="J66" s="20"/>
      <x:c r="K66" s="23"/>
      <x:c r="L66" s="23"/>
      <x:c r="M66" s="23"/>
      <x:c r="N66" s="20"/>
      <x:c r="O66" s="23"/>
      <x:c r="P66" s="20"/>
      <x:c r="Q66" s="23"/>
      <x:c r="R66" s="20" t="str">
        <x:f>IF(A66="","",IF(AND(H66="Approved",M66&lt;TODAY()),"YES","NO"))</x:f>
      </x:c>
    </x:row>
    <x:row r="67">
      <x:c r="A67" s="20"/>
      <x:c r="B67" s="20"/>
      <x:c r="C67" s="20"/>
      <x:c r="D67" s="20"/>
      <x:c r="E67" s="20"/>
      <x:c r="F67" s="20"/>
      <x:c r="G67" s="20"/>
      <x:c r="H67" s="20"/>
      <x:c r="I67" s="20"/>
      <x:c r="J67" s="20"/>
      <x:c r="K67" s="23"/>
      <x:c r="L67" s="23"/>
      <x:c r="M67" s="23"/>
      <x:c r="N67" s="20"/>
      <x:c r="O67" s="23"/>
      <x:c r="P67" s="20"/>
      <x:c r="Q67" s="23"/>
      <x:c r="R67" s="20" t="str">
        <x:f>IF(A67="","",IF(AND(H67="Approved",M67&lt;TODAY()),"YES","NO"))</x:f>
      </x:c>
    </x:row>
    <x:row r="68">
      <x:c r="A68" s="20"/>
      <x:c r="B68" s="20"/>
      <x:c r="C68" s="20"/>
      <x:c r="D68" s="20"/>
      <x:c r="E68" s="20"/>
      <x:c r="F68" s="20"/>
      <x:c r="G68" s="20"/>
      <x:c r="H68" s="20"/>
      <x:c r="I68" s="20"/>
      <x:c r="J68" s="20"/>
      <x:c r="K68" s="23"/>
      <x:c r="L68" s="23"/>
      <x:c r="M68" s="23"/>
      <x:c r="N68" s="20"/>
      <x:c r="O68" s="23"/>
      <x:c r="P68" s="20"/>
      <x:c r="Q68" s="23"/>
      <x:c r="R68" s="20" t="str">
        <x:f>IF(A68="","",IF(AND(H68="Approved",M68&lt;TODAY()),"YES","NO"))</x:f>
      </x:c>
    </x:row>
    <x:row r="69">
      <x:c r="A69" s="20"/>
      <x:c r="B69" s="20"/>
      <x:c r="C69" s="20"/>
      <x:c r="D69" s="20"/>
      <x:c r="E69" s="20"/>
      <x:c r="F69" s="20"/>
      <x:c r="G69" s="20"/>
      <x:c r="H69" s="20"/>
      <x:c r="I69" s="20"/>
      <x:c r="J69" s="20"/>
      <x:c r="K69" s="23"/>
      <x:c r="L69" s="23"/>
      <x:c r="M69" s="23"/>
      <x:c r="N69" s="20"/>
      <x:c r="O69" s="23"/>
      <x:c r="P69" s="20"/>
      <x:c r="Q69" s="23"/>
      <x:c r="R69" s="20" t="str">
        <x:f>IF(A69="","",IF(AND(H69="Approved",M69&lt;TODAY()),"YES","NO"))</x:f>
      </x:c>
    </x:row>
    <x:row r="70">
      <x:c r="A70" s="20"/>
      <x:c r="B70" s="20"/>
      <x:c r="C70" s="20"/>
      <x:c r="D70" s="20"/>
      <x:c r="E70" s="20"/>
      <x:c r="F70" s="20"/>
      <x:c r="G70" s="20"/>
      <x:c r="H70" s="20"/>
      <x:c r="I70" s="20"/>
      <x:c r="J70" s="20"/>
      <x:c r="K70" s="23"/>
      <x:c r="L70" s="23"/>
      <x:c r="M70" s="23"/>
      <x:c r="N70" s="20"/>
      <x:c r="O70" s="23"/>
      <x:c r="P70" s="20"/>
      <x:c r="Q70" s="23"/>
      <x:c r="R70" s="20" t="str">
        <x:f>IF(A70="","",IF(AND(H70="Approved",M70&lt;TODAY()),"YES","NO"))</x:f>
      </x:c>
    </x:row>
    <x:row r="71">
      <x:c r="A71" s="20"/>
      <x:c r="B71" s="20"/>
      <x:c r="C71" s="20"/>
      <x:c r="D71" s="20"/>
      <x:c r="E71" s="20"/>
      <x:c r="F71" s="20"/>
      <x:c r="G71" s="20"/>
      <x:c r="H71" s="20"/>
      <x:c r="I71" s="20"/>
      <x:c r="J71" s="20"/>
      <x:c r="K71" s="23"/>
      <x:c r="L71" s="23"/>
      <x:c r="M71" s="23"/>
      <x:c r="N71" s="20"/>
      <x:c r="O71" s="23"/>
      <x:c r="P71" s="20"/>
      <x:c r="Q71" s="23"/>
      <x:c r="R71" s="20" t="str">
        <x:f>IF(A71="","",IF(AND(H71="Approved",M71&lt;TODAY()),"YES","NO"))</x:f>
      </x:c>
    </x:row>
    <x:row r="72">
      <x:c r="A72" s="20"/>
      <x:c r="B72" s="20"/>
      <x:c r="C72" s="20"/>
      <x:c r="D72" s="20"/>
      <x:c r="E72" s="20"/>
      <x:c r="F72" s="20"/>
      <x:c r="G72" s="20"/>
      <x:c r="H72" s="20"/>
      <x:c r="I72" s="20"/>
      <x:c r="J72" s="20"/>
      <x:c r="K72" s="23"/>
      <x:c r="L72" s="23"/>
      <x:c r="M72" s="23"/>
      <x:c r="N72" s="20"/>
      <x:c r="O72" s="23"/>
      <x:c r="P72" s="20"/>
      <x:c r="Q72" s="23"/>
      <x:c r="R72" s="20" t="str">
        <x:f>IF(A72="","",IF(AND(H72="Approved",M72&lt;TODAY()),"YES","NO"))</x:f>
      </x:c>
    </x:row>
    <x:row r="73">
      <x:c r="A73" s="20"/>
      <x:c r="B73" s="20"/>
      <x:c r="C73" s="20"/>
      <x:c r="D73" s="20"/>
      <x:c r="E73" s="20"/>
      <x:c r="F73" s="20"/>
      <x:c r="G73" s="20"/>
      <x:c r="H73" s="20"/>
      <x:c r="I73" s="20"/>
      <x:c r="J73" s="20"/>
      <x:c r="K73" s="23"/>
      <x:c r="L73" s="23"/>
      <x:c r="M73" s="23"/>
      <x:c r="N73" s="20"/>
      <x:c r="O73" s="23"/>
      <x:c r="P73" s="20"/>
      <x:c r="Q73" s="23"/>
      <x:c r="R73" s="20" t="str">
        <x:f>IF(A73="","",IF(AND(H73="Approved",M73&lt;TODAY()),"YES","NO"))</x:f>
      </x:c>
    </x:row>
    <x:row r="74">
      <x:c r="A74" s="20"/>
      <x:c r="B74" s="20"/>
      <x:c r="C74" s="20"/>
      <x:c r="D74" s="20"/>
      <x:c r="E74" s="20"/>
      <x:c r="F74" s="20"/>
      <x:c r="G74" s="20"/>
      <x:c r="H74" s="20"/>
      <x:c r="I74" s="20"/>
      <x:c r="J74" s="20"/>
      <x:c r="K74" s="23"/>
      <x:c r="L74" s="23"/>
      <x:c r="M74" s="23"/>
      <x:c r="N74" s="20"/>
      <x:c r="O74" s="23"/>
      <x:c r="P74" s="20"/>
      <x:c r="Q74" s="23"/>
      <x:c r="R74" s="20" t="str">
        <x:f>IF(A74="","",IF(AND(H74="Approved",M74&lt;TODAY()),"YES","NO"))</x:f>
      </x:c>
    </x:row>
    <x:row r="75">
      <x:c r="A75" s="20"/>
      <x:c r="B75" s="20"/>
      <x:c r="C75" s="20"/>
      <x:c r="D75" s="20"/>
      <x:c r="E75" s="20"/>
      <x:c r="F75" s="20"/>
      <x:c r="G75" s="20"/>
      <x:c r="H75" s="20"/>
      <x:c r="I75" s="20"/>
      <x:c r="J75" s="20"/>
      <x:c r="K75" s="23"/>
      <x:c r="L75" s="23"/>
      <x:c r="M75" s="23"/>
      <x:c r="N75" s="20"/>
      <x:c r="O75" s="23"/>
      <x:c r="P75" s="20"/>
      <x:c r="Q75" s="23"/>
      <x:c r="R75" s="20" t="str">
        <x:f>IF(A75="","",IF(AND(H75="Approved",M75&lt;TODAY()),"YES","NO"))</x:f>
      </x:c>
    </x:row>
    <x:row r="76">
      <x:c r="A76" s="20"/>
      <x:c r="B76" s="20"/>
      <x:c r="C76" s="20"/>
      <x:c r="D76" s="20"/>
      <x:c r="E76" s="20"/>
      <x:c r="F76" s="20"/>
      <x:c r="G76" s="20"/>
      <x:c r="H76" s="20"/>
      <x:c r="I76" s="20"/>
      <x:c r="J76" s="20"/>
      <x:c r="K76" s="23"/>
      <x:c r="L76" s="23"/>
      <x:c r="M76" s="23"/>
      <x:c r="N76" s="20"/>
      <x:c r="O76" s="23"/>
      <x:c r="P76" s="20"/>
      <x:c r="Q76" s="23"/>
      <x:c r="R76" s="20" t="str">
        <x:f>IF(A76="","",IF(AND(H76="Approved",M76&lt;TODAY()),"YES","NO"))</x:f>
      </x:c>
    </x:row>
    <x:row r="77">
      <x:c r="A77" s="20"/>
      <x:c r="B77" s="20"/>
      <x:c r="C77" s="20"/>
      <x:c r="D77" s="20"/>
      <x:c r="E77" s="20"/>
      <x:c r="F77" s="20"/>
      <x:c r="G77" s="20"/>
      <x:c r="H77" s="20"/>
      <x:c r="I77" s="20"/>
      <x:c r="J77" s="20"/>
      <x:c r="K77" s="23"/>
      <x:c r="L77" s="23"/>
      <x:c r="M77" s="23"/>
      <x:c r="N77" s="20"/>
      <x:c r="O77" s="23"/>
      <x:c r="P77" s="20"/>
      <x:c r="Q77" s="23"/>
      <x:c r="R77" s="20" t="str">
        <x:f>IF(A77="","",IF(AND(H77="Approved",M77&lt;TODAY()),"YES","NO"))</x:f>
      </x:c>
    </x:row>
    <x:row r="78">
      <x:c r="A78" s="20"/>
      <x:c r="B78" s="20"/>
      <x:c r="C78" s="20"/>
      <x:c r="D78" s="20"/>
      <x:c r="E78" s="20"/>
      <x:c r="F78" s="20"/>
      <x:c r="G78" s="20"/>
      <x:c r="H78" s="20"/>
      <x:c r="I78" s="20"/>
      <x:c r="J78" s="20"/>
      <x:c r="K78" s="23"/>
      <x:c r="L78" s="23"/>
      <x:c r="M78" s="23"/>
      <x:c r="N78" s="20"/>
      <x:c r="O78" s="23"/>
      <x:c r="P78" s="20"/>
      <x:c r="Q78" s="23"/>
      <x:c r="R78" s="20" t="str">
        <x:f>IF(A78="","",IF(AND(H78="Approved",M78&lt;TODAY()),"YES","NO"))</x:f>
      </x:c>
    </x:row>
    <x:row r="79">
      <x:c r="A79" s="20"/>
      <x:c r="B79" s="20"/>
      <x:c r="C79" s="20"/>
      <x:c r="D79" s="20"/>
      <x:c r="E79" s="20"/>
      <x:c r="F79" s="20"/>
      <x:c r="G79" s="20"/>
      <x:c r="H79" s="20"/>
      <x:c r="I79" s="20"/>
      <x:c r="J79" s="20"/>
      <x:c r="K79" s="23"/>
      <x:c r="L79" s="23"/>
      <x:c r="M79" s="23"/>
      <x:c r="N79" s="20"/>
      <x:c r="O79" s="23"/>
      <x:c r="P79" s="20"/>
      <x:c r="Q79" s="23"/>
      <x:c r="R79" s="20" t="str">
        <x:f>IF(A79="","",IF(AND(H79="Approved",M79&lt;TODAY()),"YES","NO"))</x:f>
      </x:c>
    </x:row>
    <x:row r="80">
      <x:c r="A80" s="20"/>
      <x:c r="B80" s="20"/>
      <x:c r="C80" s="20"/>
      <x:c r="D80" s="20"/>
      <x:c r="E80" s="20"/>
      <x:c r="F80" s="20"/>
      <x:c r="G80" s="20"/>
      <x:c r="H80" s="20"/>
      <x:c r="I80" s="20"/>
      <x:c r="J80" s="20"/>
      <x:c r="K80" s="23"/>
      <x:c r="L80" s="23"/>
      <x:c r="M80" s="23"/>
      <x:c r="N80" s="20"/>
      <x:c r="O80" s="23"/>
      <x:c r="P80" s="20"/>
      <x:c r="Q80" s="23"/>
      <x:c r="R80" s="20" t="str">
        <x:f>IF(A80="","",IF(AND(H80="Approved",M80&lt;TODAY()),"YES","NO"))</x:f>
      </x:c>
    </x:row>
    <x:row r="81">
      <x:c r="A81" s="20"/>
      <x:c r="B81" s="20"/>
      <x:c r="C81" s="20"/>
      <x:c r="D81" s="20"/>
      <x:c r="E81" s="20"/>
      <x:c r="F81" s="20"/>
      <x:c r="G81" s="20"/>
      <x:c r="H81" s="20"/>
      <x:c r="I81" s="20"/>
      <x:c r="J81" s="20"/>
      <x:c r="K81" s="23"/>
      <x:c r="L81" s="23"/>
      <x:c r="M81" s="23"/>
      <x:c r="N81" s="20"/>
      <x:c r="O81" s="23"/>
      <x:c r="P81" s="20"/>
      <x:c r="Q81" s="23"/>
      <x:c r="R81" s="20" t="str">
        <x:f>IF(A81="","",IF(AND(H81="Approved",M81&lt;TODAY()),"YES","NO"))</x:f>
      </x:c>
    </x:row>
    <x:row r="82">
      <x:c r="A82" s="20"/>
      <x:c r="B82" s="20"/>
      <x:c r="C82" s="20"/>
      <x:c r="D82" s="20"/>
      <x:c r="E82" s="20"/>
      <x:c r="F82" s="20"/>
      <x:c r="G82" s="20"/>
      <x:c r="H82" s="20"/>
      <x:c r="I82" s="20"/>
      <x:c r="J82" s="20"/>
      <x:c r="K82" s="23"/>
      <x:c r="L82" s="23"/>
      <x:c r="M82" s="23"/>
      <x:c r="N82" s="20"/>
      <x:c r="O82" s="23"/>
      <x:c r="P82" s="20"/>
      <x:c r="Q82" s="23"/>
      <x:c r="R82" s="20" t="str">
        <x:f>IF(A82="","",IF(AND(H82="Approved",M82&lt;TODAY()),"YES","NO"))</x:f>
      </x:c>
    </x:row>
    <x:row r="83">
      <x:c r="A83" s="20"/>
      <x:c r="B83" s="20"/>
      <x:c r="C83" s="20"/>
      <x:c r="D83" s="20"/>
      <x:c r="E83" s="20"/>
      <x:c r="F83" s="20"/>
      <x:c r="G83" s="20"/>
      <x:c r="H83" s="20"/>
      <x:c r="I83" s="20"/>
      <x:c r="J83" s="20"/>
      <x:c r="K83" s="23"/>
      <x:c r="L83" s="23"/>
      <x:c r="M83" s="23"/>
      <x:c r="N83" s="20"/>
      <x:c r="O83" s="23"/>
      <x:c r="P83" s="20"/>
      <x:c r="Q83" s="23"/>
      <x:c r="R83" s="20" t="str">
        <x:f>IF(A83="","",IF(AND(H83="Approved",M83&lt;TODAY()),"YES","NO"))</x:f>
      </x:c>
    </x:row>
    <x:row r="84">
      <x:c r="A84" s="20"/>
      <x:c r="B84" s="20"/>
      <x:c r="C84" s="20"/>
      <x:c r="D84" s="20"/>
      <x:c r="E84" s="20"/>
      <x:c r="F84" s="20"/>
      <x:c r="G84" s="20"/>
      <x:c r="H84" s="20"/>
      <x:c r="I84" s="20"/>
      <x:c r="J84" s="20"/>
      <x:c r="K84" s="23"/>
      <x:c r="L84" s="23"/>
      <x:c r="M84" s="23"/>
      <x:c r="N84" s="20"/>
      <x:c r="O84" s="23"/>
      <x:c r="P84" s="20"/>
      <x:c r="Q84" s="23"/>
      <x:c r="R84" s="20" t="str">
        <x:f>IF(A84="","",IF(AND(H84="Approved",M84&lt;TODAY()),"YES","NO"))</x:f>
      </x:c>
    </x:row>
    <x:row r="85">
      <x:c r="A85" s="20"/>
      <x:c r="B85" s="20"/>
      <x:c r="C85" s="20"/>
      <x:c r="D85" s="20"/>
      <x:c r="E85" s="20"/>
      <x:c r="F85" s="20"/>
      <x:c r="G85" s="20"/>
      <x:c r="H85" s="20"/>
      <x:c r="I85" s="20"/>
      <x:c r="J85" s="20"/>
      <x:c r="K85" s="23"/>
      <x:c r="L85" s="23"/>
      <x:c r="M85" s="23"/>
      <x:c r="N85" s="20"/>
      <x:c r="O85" s="23"/>
      <x:c r="P85" s="20"/>
      <x:c r="Q85" s="23"/>
      <x:c r="R85" s="20" t="str">
        <x:f>IF(A85="","",IF(AND(H85="Approved",M85&lt;TODAY()),"YES","NO"))</x:f>
      </x:c>
    </x:row>
    <x:row r="86">
      <x:c r="A86" s="20"/>
      <x:c r="B86" s="20"/>
      <x:c r="C86" s="20"/>
      <x:c r="D86" s="20"/>
      <x:c r="E86" s="20"/>
      <x:c r="F86" s="20"/>
      <x:c r="G86" s="20"/>
      <x:c r="H86" s="20"/>
      <x:c r="I86" s="20"/>
      <x:c r="J86" s="20"/>
      <x:c r="K86" s="23"/>
      <x:c r="L86" s="23"/>
      <x:c r="M86" s="23"/>
      <x:c r="N86" s="20"/>
      <x:c r="O86" s="23"/>
      <x:c r="P86" s="20"/>
      <x:c r="Q86" s="23"/>
      <x:c r="R86" s="20" t="str">
        <x:f>IF(A86="","",IF(AND(H86="Approved",M86&lt;TODAY()),"YES","NO"))</x:f>
      </x:c>
    </x:row>
    <x:row r="87">
      <x:c r="A87" s="20"/>
      <x:c r="B87" s="20"/>
      <x:c r="C87" s="20"/>
      <x:c r="D87" s="20"/>
      <x:c r="E87" s="20"/>
      <x:c r="F87" s="20"/>
      <x:c r="G87" s="20"/>
      <x:c r="H87" s="20"/>
      <x:c r="I87" s="20"/>
      <x:c r="J87" s="20"/>
      <x:c r="K87" s="23"/>
      <x:c r="L87" s="23"/>
      <x:c r="M87" s="23"/>
      <x:c r="N87" s="20"/>
      <x:c r="O87" s="23"/>
      <x:c r="P87" s="20"/>
      <x:c r="Q87" s="23"/>
      <x:c r="R87" s="20" t="str">
        <x:f>IF(A87="","",IF(AND(H87="Approved",M87&lt;TODAY()),"YES","NO"))</x:f>
      </x:c>
    </x:row>
    <x:row r="88">
      <x:c r="A88" s="20"/>
      <x:c r="B88" s="20"/>
      <x:c r="C88" s="20"/>
      <x:c r="D88" s="20"/>
      <x:c r="E88" s="20"/>
      <x:c r="F88" s="20"/>
      <x:c r="G88" s="20"/>
      <x:c r="H88" s="20"/>
      <x:c r="I88" s="20"/>
      <x:c r="J88" s="20"/>
      <x:c r="K88" s="23"/>
      <x:c r="L88" s="23"/>
      <x:c r="M88" s="23"/>
      <x:c r="N88" s="20"/>
      <x:c r="O88" s="23"/>
      <x:c r="P88" s="20"/>
      <x:c r="Q88" s="23"/>
      <x:c r="R88" s="20" t="str">
        <x:f>IF(A88="","",IF(AND(H88="Approved",M88&lt;TODAY()),"YES","NO"))</x:f>
      </x:c>
    </x:row>
    <x:row r="89">
      <x:c r="A89" s="20"/>
      <x:c r="B89" s="20"/>
      <x:c r="C89" s="20"/>
      <x:c r="D89" s="20"/>
      <x:c r="E89" s="20"/>
      <x:c r="F89" s="20"/>
      <x:c r="G89" s="20"/>
      <x:c r="H89" s="20"/>
      <x:c r="I89" s="20"/>
      <x:c r="J89" s="20"/>
      <x:c r="K89" s="23"/>
      <x:c r="L89" s="23"/>
      <x:c r="M89" s="23"/>
      <x:c r="N89" s="20"/>
      <x:c r="O89" s="23"/>
      <x:c r="P89" s="20"/>
      <x:c r="Q89" s="23"/>
      <x:c r="R89" s="20" t="str">
        <x:f>IF(A89="","",IF(AND(H89="Approved",M89&lt;TODAY()),"YES","NO"))</x:f>
      </x:c>
    </x:row>
    <x:row r="90">
      <x:c r="A90" s="20"/>
      <x:c r="B90" s="20"/>
      <x:c r="C90" s="20"/>
      <x:c r="D90" s="20"/>
      <x:c r="E90" s="20"/>
      <x:c r="F90" s="20"/>
      <x:c r="G90" s="20"/>
      <x:c r="H90" s="20"/>
      <x:c r="I90" s="20"/>
      <x:c r="J90" s="20"/>
      <x:c r="K90" s="23"/>
      <x:c r="L90" s="23"/>
      <x:c r="M90" s="23"/>
      <x:c r="N90" s="20"/>
      <x:c r="O90" s="23"/>
      <x:c r="P90" s="20"/>
      <x:c r="Q90" s="23"/>
      <x:c r="R90" s="20" t="str">
        <x:f>IF(A90="","",IF(AND(H90="Approved",M90&lt;TODAY()),"YES","NO"))</x:f>
      </x:c>
    </x:row>
    <x:row r="91">
      <x:c r="A91" s="20"/>
      <x:c r="B91" s="20"/>
      <x:c r="C91" s="20"/>
      <x:c r="D91" s="20"/>
      <x:c r="E91" s="20"/>
      <x:c r="F91" s="20"/>
      <x:c r="G91" s="20"/>
      <x:c r="H91" s="20"/>
      <x:c r="I91" s="20"/>
      <x:c r="J91" s="20"/>
      <x:c r="K91" s="23"/>
      <x:c r="L91" s="23"/>
      <x:c r="M91" s="23"/>
      <x:c r="N91" s="20"/>
      <x:c r="O91" s="23"/>
      <x:c r="P91" s="20"/>
      <x:c r="Q91" s="23"/>
      <x:c r="R91" s="20" t="str">
        <x:f>IF(A91="","",IF(AND(H91="Approved",M91&lt;TODAY()),"YES","NO"))</x:f>
      </x:c>
    </x:row>
    <x:row r="92">
      <x:c r="A92" s="20"/>
      <x:c r="B92" s="20"/>
      <x:c r="C92" s="20"/>
      <x:c r="D92" s="20"/>
      <x:c r="E92" s="20"/>
      <x:c r="F92" s="20"/>
      <x:c r="G92" s="20"/>
      <x:c r="H92" s="20"/>
      <x:c r="I92" s="20"/>
      <x:c r="J92" s="20"/>
      <x:c r="K92" s="23"/>
      <x:c r="L92" s="23"/>
      <x:c r="M92" s="23"/>
      <x:c r="N92" s="20"/>
      <x:c r="O92" s="23"/>
      <x:c r="P92" s="20"/>
      <x:c r="Q92" s="23"/>
      <x:c r="R92" s="20" t="str">
        <x:f>IF(A92="","",IF(AND(H92="Approved",M92&lt;TODAY()),"YES","NO"))</x:f>
      </x:c>
    </x:row>
    <x:row r="93">
      <x:c r="A93" s="20"/>
      <x:c r="B93" s="20"/>
      <x:c r="C93" s="20"/>
      <x:c r="D93" s="20"/>
      <x:c r="E93" s="20"/>
      <x:c r="F93" s="20"/>
      <x:c r="G93" s="20"/>
      <x:c r="H93" s="20"/>
      <x:c r="I93" s="20"/>
      <x:c r="J93" s="20"/>
      <x:c r="K93" s="23"/>
      <x:c r="L93" s="23"/>
      <x:c r="M93" s="23"/>
      <x:c r="N93" s="20"/>
      <x:c r="O93" s="23"/>
      <x:c r="P93" s="20"/>
      <x:c r="Q93" s="23"/>
      <x:c r="R93" s="20" t="str">
        <x:f>IF(A93="","",IF(AND(H93="Approved",M93&lt;TODAY()),"YES","NO"))</x:f>
      </x:c>
    </x:row>
    <x:row r="94">
      <x:c r="A94" s="20"/>
      <x:c r="B94" s="20"/>
      <x:c r="C94" s="20"/>
      <x:c r="D94" s="20"/>
      <x:c r="E94" s="20"/>
      <x:c r="F94" s="20"/>
      <x:c r="G94" s="20"/>
      <x:c r="H94" s="20"/>
      <x:c r="I94" s="20"/>
      <x:c r="J94" s="20"/>
      <x:c r="K94" s="23"/>
      <x:c r="L94" s="23"/>
      <x:c r="M94" s="23"/>
      <x:c r="N94" s="20"/>
      <x:c r="O94" s="23"/>
      <x:c r="P94" s="20"/>
      <x:c r="Q94" s="23"/>
      <x:c r="R94" s="20" t="str">
        <x:f>IF(A94="","",IF(AND(H94="Approved",M94&lt;TODAY()),"YES","NO"))</x:f>
      </x:c>
    </x:row>
    <x:row r="95">
      <x:c r="A95" s="20"/>
      <x:c r="B95" s="20"/>
      <x:c r="C95" s="20"/>
      <x:c r="D95" s="20"/>
      <x:c r="E95" s="20"/>
      <x:c r="F95" s="20"/>
      <x:c r="G95" s="20"/>
      <x:c r="H95" s="20"/>
      <x:c r="I95" s="20"/>
      <x:c r="J95" s="20"/>
      <x:c r="K95" s="23"/>
      <x:c r="L95" s="23"/>
      <x:c r="M95" s="23"/>
      <x:c r="N95" s="20"/>
      <x:c r="O95" s="23"/>
      <x:c r="P95" s="20"/>
      <x:c r="Q95" s="23"/>
      <x:c r="R95" s="20" t="str">
        <x:f>IF(A95="","",IF(AND(H95="Approved",M95&lt;TODAY()),"YES","NO"))</x:f>
      </x:c>
    </x:row>
    <x:row r="96">
      <x:c r="A96" s="20"/>
      <x:c r="B96" s="20"/>
      <x:c r="C96" s="20"/>
      <x:c r="D96" s="20"/>
      <x:c r="E96" s="20"/>
      <x:c r="F96" s="20"/>
      <x:c r="G96" s="20"/>
      <x:c r="H96" s="20"/>
      <x:c r="I96" s="20"/>
      <x:c r="J96" s="20"/>
      <x:c r="K96" s="23"/>
      <x:c r="L96" s="23"/>
      <x:c r="M96" s="23"/>
      <x:c r="N96" s="20"/>
      <x:c r="O96" s="23"/>
      <x:c r="P96" s="20"/>
      <x:c r="Q96" s="23"/>
      <x:c r="R96" s="20" t="str">
        <x:f>IF(A96="","",IF(AND(H96="Approved",M96&lt;TODAY()),"YES","NO"))</x:f>
      </x:c>
    </x:row>
    <x:row r="97">
      <x:c r="A97" s="20"/>
      <x:c r="B97" s="20"/>
      <x:c r="C97" s="20"/>
      <x:c r="D97" s="20"/>
      <x:c r="E97" s="20"/>
      <x:c r="F97" s="20"/>
      <x:c r="G97" s="20"/>
      <x:c r="H97" s="20"/>
      <x:c r="I97" s="20"/>
      <x:c r="J97" s="20"/>
      <x:c r="K97" s="23"/>
      <x:c r="L97" s="23"/>
      <x:c r="M97" s="23"/>
      <x:c r="N97" s="20"/>
      <x:c r="O97" s="23"/>
      <x:c r="P97" s="20"/>
      <x:c r="Q97" s="23"/>
      <x:c r="R97" s="20" t="str">
        <x:f>IF(A97="","",IF(AND(H97="Approved",M97&lt;TODAY()),"YES","NO"))</x:f>
      </x:c>
    </x:row>
    <x:row r="98">
      <x:c r="A98" s="20"/>
      <x:c r="B98" s="20"/>
      <x:c r="C98" s="20"/>
      <x:c r="D98" s="20"/>
      <x:c r="E98" s="20"/>
      <x:c r="F98" s="20"/>
      <x:c r="G98" s="20"/>
      <x:c r="H98" s="20"/>
      <x:c r="I98" s="20"/>
      <x:c r="J98" s="20"/>
      <x:c r="K98" s="23"/>
      <x:c r="L98" s="23"/>
      <x:c r="M98" s="23"/>
      <x:c r="N98" s="20"/>
      <x:c r="O98" s="23"/>
      <x:c r="P98" s="20"/>
      <x:c r="Q98" s="23"/>
      <x:c r="R98" s="20" t="str">
        <x:f>IF(A98="","",IF(AND(H98="Approved",M98&lt;TODAY()),"YES","NO"))</x:f>
      </x:c>
    </x:row>
    <x:row r="99">
      <x:c r="A99" s="20"/>
      <x:c r="B99" s="20"/>
      <x:c r="C99" s="20"/>
      <x:c r="D99" s="20"/>
      <x:c r="E99" s="20"/>
      <x:c r="F99" s="20"/>
      <x:c r="G99" s="20"/>
      <x:c r="H99" s="20"/>
      <x:c r="I99" s="20"/>
      <x:c r="J99" s="20"/>
      <x:c r="K99" s="23"/>
      <x:c r="L99" s="23"/>
      <x:c r="M99" s="23"/>
      <x:c r="N99" s="20"/>
      <x:c r="O99" s="23"/>
      <x:c r="P99" s="20"/>
      <x:c r="Q99" s="23"/>
      <x:c r="R99" s="20" t="str">
        <x:f>IF(A99="","",IF(AND(H99="Approved",M99&lt;TODAY()),"YES","NO"))</x:f>
      </x:c>
    </x:row>
    <x:row r="100">
      <x:c r="A100" s="20"/>
      <x:c r="B100" s="20"/>
      <x:c r="C100" s="20"/>
      <x:c r="D100" s="20"/>
      <x:c r="E100" s="20"/>
      <x:c r="F100" s="20"/>
      <x:c r="G100" s="20"/>
      <x:c r="H100" s="20"/>
      <x:c r="I100" s="20"/>
      <x:c r="J100" s="20"/>
      <x:c r="K100" s="23"/>
      <x:c r="L100" s="23"/>
      <x:c r="M100" s="23"/>
      <x:c r="N100" s="20"/>
      <x:c r="O100" s="23"/>
      <x:c r="P100" s="20"/>
      <x:c r="Q100" s="23"/>
      <x:c r="R100" s="20" t="str">
        <x:f>IF(A100="","",IF(AND(H100="Approved",M100&lt;TODAY()),"YES","NO"))</x:f>
      </x:c>
    </x:row>
    <x:row r="101">
      <x:c r="A101" s="20"/>
      <x:c r="B101" s="20"/>
      <x:c r="C101" s="20"/>
      <x:c r="D101" s="20"/>
      <x:c r="E101" s="20"/>
      <x:c r="F101" s="20"/>
      <x:c r="G101" s="20"/>
      <x:c r="H101" s="20"/>
      <x:c r="I101" s="20"/>
      <x:c r="J101" s="20"/>
      <x:c r="K101" s="23"/>
      <x:c r="L101" s="23"/>
      <x:c r="M101" s="23"/>
      <x:c r="N101" s="20"/>
      <x:c r="O101" s="23"/>
      <x:c r="P101" s="20"/>
      <x:c r="Q101" s="23"/>
      <x:c r="R101" s="20" t="str">
        <x:f>IF(A101="","",IF(AND(H101="Approved",M101&lt;TODAY()),"YES","NO"))</x:f>
      </x:c>
    </x:row>
    <x:row r="102">
      <x:c r="A102" s="20"/>
      <x:c r="B102" s="20"/>
      <x:c r="C102" s="20"/>
      <x:c r="D102" s="20"/>
      <x:c r="E102" s="20"/>
      <x:c r="F102" s="20"/>
      <x:c r="G102" s="20"/>
      <x:c r="H102" s="20"/>
      <x:c r="I102" s="20"/>
      <x:c r="J102" s="20"/>
      <x:c r="K102" s="23"/>
      <x:c r="L102" s="23"/>
      <x:c r="M102" s="23"/>
      <x:c r="N102" s="20"/>
      <x:c r="O102" s="23"/>
      <x:c r="P102" s="20"/>
      <x:c r="Q102" s="23"/>
      <x:c r="R102" s="20" t="str">
        <x:f>IF(A102="","",IF(AND(H102="Approved",M102&lt;TODAY()),"YES","NO"))</x:f>
      </x:c>
    </x:row>
    <x:row r="103">
      <x:c r="A103" s="20"/>
      <x:c r="B103" s="20"/>
      <x:c r="C103" s="20"/>
      <x:c r="D103" s="20"/>
      <x:c r="E103" s="20"/>
      <x:c r="F103" s="20"/>
      <x:c r="G103" s="20"/>
      <x:c r="H103" s="20"/>
      <x:c r="I103" s="20"/>
      <x:c r="J103" s="20"/>
      <x:c r="K103" s="23"/>
      <x:c r="L103" s="23"/>
      <x:c r="M103" s="23"/>
      <x:c r="N103" s="20"/>
      <x:c r="O103" s="23"/>
      <x:c r="P103" s="20"/>
      <x:c r="Q103" s="23"/>
      <x:c r="R103" s="20" t="str">
        <x:f>IF(A103="","",IF(AND(H103="Approved",M103&lt;TODAY()),"YES","NO"))</x:f>
      </x:c>
    </x:row>
    <x:row r="104">
      <x:c r="A104" s="20"/>
      <x:c r="B104" s="20"/>
      <x:c r="C104" s="20"/>
      <x:c r="D104" s="20"/>
      <x:c r="E104" s="20"/>
      <x:c r="F104" s="20"/>
      <x:c r="G104" s="20"/>
      <x:c r="H104" s="20"/>
      <x:c r="I104" s="20"/>
      <x:c r="J104" s="20"/>
      <x:c r="K104" s="23"/>
      <x:c r="L104" s="23"/>
      <x:c r="M104" s="23"/>
      <x:c r="N104" s="20"/>
      <x:c r="O104" s="23"/>
      <x:c r="P104" s="20"/>
      <x:c r="Q104" s="23"/>
      <x:c r="R104" s="20" t="str">
        <x:f>IF(A104="","",IF(AND(H104="Approved",M104&lt;TODAY()),"YES","NO"))</x:f>
      </x:c>
    </x:row>
    <x:row r="105">
      <x:c r="A105" s="20"/>
      <x:c r="B105" s="20"/>
      <x:c r="C105" s="20"/>
      <x:c r="D105" s="20"/>
      <x:c r="E105" s="20"/>
      <x:c r="F105" s="20"/>
      <x:c r="G105" s="20"/>
      <x:c r="H105" s="20"/>
      <x:c r="I105" s="20"/>
      <x:c r="J105" s="20"/>
      <x:c r="K105" s="23"/>
      <x:c r="L105" s="23"/>
      <x:c r="M105" s="23"/>
      <x:c r="N105" s="20"/>
      <x:c r="O105" s="23"/>
      <x:c r="P105" s="20"/>
      <x:c r="Q105" s="23"/>
      <x:c r="R105" s="20" t="str">
        <x:f>IF(A105="","",IF(AND(H105="Approved",M105&lt;TODAY()),"YES","NO"))</x:f>
      </x:c>
    </x:row>
    <x:row r="106">
      <x:c r="A106" s="20"/>
      <x:c r="B106" s="20"/>
      <x:c r="C106" s="20"/>
      <x:c r="D106" s="20"/>
      <x:c r="E106" s="20"/>
      <x:c r="F106" s="20"/>
      <x:c r="G106" s="20"/>
      <x:c r="H106" s="20"/>
      <x:c r="I106" s="20"/>
      <x:c r="J106" s="20"/>
      <x:c r="K106" s="23"/>
      <x:c r="L106" s="23"/>
      <x:c r="M106" s="23"/>
      <x:c r="N106" s="20"/>
      <x:c r="O106" s="23"/>
      <x:c r="P106" s="20"/>
      <x:c r="Q106" s="23"/>
      <x:c r="R106" s="20" t="str">
        <x:f>IF(A106="","",IF(AND(H106="Approved",M106&lt;TODAY()),"YES","NO"))</x:f>
      </x:c>
    </x:row>
    <x:row r="107">
      <x:c r="A107" s="20"/>
      <x:c r="B107" s="20"/>
      <x:c r="C107" s="20"/>
      <x:c r="D107" s="20"/>
      <x:c r="E107" s="20"/>
      <x:c r="F107" s="20"/>
      <x:c r="G107" s="20"/>
      <x:c r="H107" s="20"/>
      <x:c r="I107" s="20"/>
      <x:c r="J107" s="20"/>
      <x:c r="K107" s="23"/>
      <x:c r="L107" s="23"/>
      <x:c r="M107" s="23"/>
      <x:c r="N107" s="20"/>
      <x:c r="O107" s="23"/>
      <x:c r="P107" s="20"/>
      <x:c r="Q107" s="23"/>
      <x:c r="R107" s="20" t="str">
        <x:f>IF(A107="","",IF(AND(H107="Approved",M107&lt;TODAY()),"YES","NO"))</x:f>
      </x:c>
    </x:row>
    <x:row r="108">
      <x:c r="A108" s="20"/>
      <x:c r="B108" s="20"/>
      <x:c r="C108" s="20"/>
      <x:c r="D108" s="20"/>
      <x:c r="E108" s="20"/>
      <x:c r="F108" s="20"/>
      <x:c r="G108" s="20"/>
      <x:c r="H108" s="20"/>
      <x:c r="I108" s="20"/>
      <x:c r="J108" s="20"/>
      <x:c r="K108" s="23"/>
      <x:c r="L108" s="23"/>
      <x:c r="M108" s="23"/>
      <x:c r="N108" s="20"/>
      <x:c r="O108" s="23"/>
      <x:c r="P108" s="20"/>
      <x:c r="Q108" s="23"/>
      <x:c r="R108" s="20" t="str">
        <x:f>IF(A108="","",IF(AND(H108="Approved",M108&lt;TODAY()),"YES","NO"))</x:f>
      </x:c>
    </x:row>
    <x:row r="109">
      <x:c r="A109" s="20"/>
      <x:c r="B109" s="20"/>
      <x:c r="C109" s="20"/>
      <x:c r="D109" s="20"/>
      <x:c r="E109" s="20"/>
      <x:c r="F109" s="20"/>
      <x:c r="G109" s="20"/>
      <x:c r="H109" s="20"/>
      <x:c r="I109" s="20"/>
      <x:c r="J109" s="20"/>
      <x:c r="K109" s="23"/>
      <x:c r="L109" s="23"/>
      <x:c r="M109" s="23"/>
      <x:c r="N109" s="20"/>
      <x:c r="O109" s="23"/>
      <x:c r="P109" s="20"/>
      <x:c r="Q109" s="23"/>
      <x:c r="R109" s="20" t="str">
        <x:f>IF(A109="","",IF(AND(H109="Approved",M109&lt;TODAY()),"YES","NO"))</x:f>
      </x:c>
    </x:row>
    <x:row r="110">
      <x:c r="A110" s="20"/>
      <x:c r="B110" s="20"/>
      <x:c r="C110" s="20"/>
      <x:c r="D110" s="20"/>
      <x:c r="E110" s="20"/>
      <x:c r="F110" s="20"/>
      <x:c r="G110" s="20"/>
      <x:c r="H110" s="20"/>
      <x:c r="I110" s="20"/>
      <x:c r="J110" s="20"/>
      <x:c r="K110" s="23"/>
      <x:c r="L110" s="23"/>
      <x:c r="M110" s="23"/>
      <x:c r="N110" s="20"/>
      <x:c r="O110" s="23"/>
      <x:c r="P110" s="20"/>
      <x:c r="Q110" s="23"/>
      <x:c r="R110" s="20" t="str">
        <x:f>IF(A110="","",IF(AND(H110="Approved",M110&lt;TODAY()),"YES","NO"))</x:f>
      </x:c>
    </x:row>
    <x:row r="111">
      <x:c r="A111" s="20"/>
      <x:c r="B111" s="20"/>
      <x:c r="C111" s="20"/>
      <x:c r="D111" s="20"/>
      <x:c r="E111" s="20"/>
      <x:c r="F111" s="20"/>
      <x:c r="G111" s="20"/>
      <x:c r="H111" s="20"/>
      <x:c r="I111" s="20"/>
      <x:c r="J111" s="20"/>
      <x:c r="K111" s="23"/>
      <x:c r="L111" s="23"/>
      <x:c r="M111" s="23"/>
      <x:c r="N111" s="20"/>
      <x:c r="O111" s="23"/>
      <x:c r="P111" s="20"/>
      <x:c r="Q111" s="23"/>
      <x:c r="R111" s="20" t="str">
        <x:f>IF(A111="","",IF(AND(H111="Approved",M111&lt;TODAY()),"YES","NO"))</x:f>
      </x:c>
    </x:row>
    <x:row r="112">
      <x:c r="A112" s="20"/>
      <x:c r="B112" s="20"/>
      <x:c r="C112" s="20"/>
      <x:c r="D112" s="20"/>
      <x:c r="E112" s="20"/>
      <x:c r="F112" s="20"/>
      <x:c r="G112" s="20"/>
      <x:c r="H112" s="20"/>
      <x:c r="I112" s="20"/>
      <x:c r="J112" s="20"/>
      <x:c r="K112" s="23"/>
      <x:c r="L112" s="23"/>
      <x:c r="M112" s="23"/>
      <x:c r="N112" s="20"/>
      <x:c r="O112" s="23"/>
      <x:c r="P112" s="20"/>
      <x:c r="Q112" s="23"/>
      <x:c r="R112" s="20" t="str">
        <x:f>IF(A112="","",IF(AND(H112="Approved",M112&lt;TODAY()),"YES","NO"))</x:f>
      </x:c>
    </x:row>
    <x:row r="113">
      <x:c r="A113" s="20"/>
      <x:c r="B113" s="20"/>
      <x:c r="C113" s="20"/>
      <x:c r="D113" s="20"/>
      <x:c r="E113" s="20"/>
      <x:c r="F113" s="20"/>
      <x:c r="G113" s="20"/>
      <x:c r="H113" s="20"/>
      <x:c r="I113" s="20"/>
      <x:c r="J113" s="20"/>
      <x:c r="K113" s="23"/>
      <x:c r="L113" s="23"/>
      <x:c r="M113" s="23"/>
      <x:c r="N113" s="20"/>
      <x:c r="O113" s="23"/>
      <x:c r="P113" s="20"/>
      <x:c r="Q113" s="23"/>
      <x:c r="R113" s="20" t="str">
        <x:f>IF(A113="","",IF(AND(H113="Approved",M113&lt;TODAY()),"YES","NO"))</x:f>
      </x:c>
    </x:row>
    <x:row r="114">
      <x:c r="A114" s="20"/>
      <x:c r="B114" s="20"/>
      <x:c r="C114" s="20"/>
      <x:c r="D114" s="20"/>
      <x:c r="E114" s="20"/>
      <x:c r="F114" s="20"/>
      <x:c r="G114" s="20"/>
      <x:c r="H114" s="20"/>
      <x:c r="I114" s="20"/>
      <x:c r="J114" s="20"/>
      <x:c r="K114" s="23"/>
      <x:c r="L114" s="23"/>
      <x:c r="M114" s="23"/>
      <x:c r="N114" s="20"/>
      <x:c r="O114" s="23"/>
      <x:c r="P114" s="20"/>
      <x:c r="Q114" s="23"/>
      <x:c r="R114" s="20" t="str">
        <x:f>IF(A114="","",IF(AND(H114="Approved",M114&lt;TODAY()),"YES","NO"))</x:f>
      </x:c>
    </x:row>
    <x:row r="115">
      <x:c r="A115" s="20"/>
      <x:c r="B115" s="20"/>
      <x:c r="C115" s="20"/>
      <x:c r="D115" s="20"/>
      <x:c r="E115" s="20"/>
      <x:c r="F115" s="20"/>
      <x:c r="G115" s="20"/>
      <x:c r="H115" s="20"/>
      <x:c r="I115" s="20"/>
      <x:c r="J115" s="20"/>
      <x:c r="K115" s="23"/>
      <x:c r="L115" s="23"/>
      <x:c r="M115" s="23"/>
      <x:c r="N115" s="20"/>
      <x:c r="O115" s="23"/>
      <x:c r="P115" s="20"/>
      <x:c r="Q115" s="23"/>
      <x:c r="R115" s="20" t="str">
        <x:f>IF(A115="","",IF(AND(H115="Approved",M115&lt;TODAY()),"YES","NO"))</x:f>
      </x:c>
    </x:row>
    <x:row r="116">
      <x:c r="A116" s="20"/>
      <x:c r="B116" s="20"/>
      <x:c r="C116" s="20"/>
      <x:c r="D116" s="20"/>
      <x:c r="E116" s="20"/>
      <x:c r="F116" s="20"/>
      <x:c r="G116" s="20"/>
      <x:c r="H116" s="20"/>
      <x:c r="I116" s="20"/>
      <x:c r="J116" s="20"/>
      <x:c r="K116" s="23"/>
      <x:c r="L116" s="23"/>
      <x:c r="M116" s="23"/>
      <x:c r="N116" s="20"/>
      <x:c r="O116" s="23"/>
      <x:c r="P116" s="20"/>
      <x:c r="Q116" s="23"/>
      <x:c r="R116" s="20" t="str">
        <x:f>IF(A116="","",IF(AND(H116="Approved",M116&lt;TODAY()),"YES","NO"))</x:f>
      </x:c>
    </x:row>
    <x:row r="117">
      <x:c r="A117" s="20"/>
      <x:c r="B117" s="20"/>
      <x:c r="C117" s="20"/>
      <x:c r="D117" s="20"/>
      <x:c r="E117" s="20"/>
      <x:c r="F117" s="20"/>
      <x:c r="G117" s="20"/>
      <x:c r="H117" s="20"/>
      <x:c r="I117" s="20"/>
      <x:c r="J117" s="20"/>
      <x:c r="K117" s="23"/>
      <x:c r="L117" s="23"/>
      <x:c r="M117" s="23"/>
      <x:c r="N117" s="20"/>
      <x:c r="O117" s="23"/>
      <x:c r="P117" s="20"/>
      <x:c r="Q117" s="23"/>
      <x:c r="R117" s="20" t="str">
        <x:f>IF(A117="","",IF(AND(H117="Approved",M117&lt;TODAY()),"YES","NO"))</x:f>
      </x:c>
    </x:row>
    <x:row r="118">
      <x:c r="A118" s="20"/>
      <x:c r="B118" s="20"/>
      <x:c r="C118" s="20"/>
      <x:c r="D118" s="20"/>
      <x:c r="E118" s="20"/>
      <x:c r="F118" s="20"/>
      <x:c r="G118" s="20"/>
      <x:c r="H118" s="20"/>
      <x:c r="I118" s="20"/>
      <x:c r="J118" s="20"/>
      <x:c r="K118" s="23"/>
      <x:c r="L118" s="23"/>
      <x:c r="M118" s="23"/>
      <x:c r="N118" s="20"/>
      <x:c r="O118" s="23"/>
      <x:c r="P118" s="20"/>
      <x:c r="Q118" s="23"/>
      <x:c r="R118" s="20" t="str">
        <x:f>IF(A118="","",IF(AND(H118="Approved",M118&lt;TODAY()),"YES","NO"))</x:f>
      </x:c>
    </x:row>
    <x:row r="119">
      <x:c r="A119" s="20"/>
      <x:c r="B119" s="20"/>
      <x:c r="C119" s="20"/>
      <x:c r="D119" s="20"/>
      <x:c r="E119" s="20"/>
      <x:c r="F119" s="20"/>
      <x:c r="G119" s="20"/>
      <x:c r="H119" s="20"/>
      <x:c r="I119" s="20"/>
      <x:c r="J119" s="20"/>
      <x:c r="K119" s="23"/>
      <x:c r="L119" s="23"/>
      <x:c r="M119" s="23"/>
      <x:c r="N119" s="20"/>
      <x:c r="O119" s="23"/>
      <x:c r="P119" s="20"/>
      <x:c r="Q119" s="23"/>
      <x:c r="R119" s="20" t="str">
        <x:f>IF(A119="","",IF(AND(H119="Approved",M119&lt;TODAY()),"YES","NO"))</x:f>
      </x:c>
    </x:row>
    <x:row r="120">
      <x:c r="A120" s="20"/>
      <x:c r="B120" s="20"/>
      <x:c r="C120" s="20"/>
      <x:c r="D120" s="20"/>
      <x:c r="E120" s="20"/>
      <x:c r="F120" s="20"/>
      <x:c r="G120" s="20"/>
      <x:c r="H120" s="20"/>
      <x:c r="I120" s="20"/>
      <x:c r="J120" s="20"/>
      <x:c r="K120" s="23"/>
      <x:c r="L120" s="23"/>
      <x:c r="M120" s="23"/>
      <x:c r="N120" s="20"/>
      <x:c r="O120" s="23"/>
      <x:c r="P120" s="20"/>
      <x:c r="Q120" s="23"/>
      <x:c r="R120" s="20" t="str">
        <x:f>IF(A120="","",IF(AND(H120="Approved",M120&lt;TODAY()),"YES","NO"))</x:f>
      </x:c>
    </x:row>
    <x:row r="121">
      <x:c r="A121" s="20"/>
      <x:c r="B121" s="20"/>
      <x:c r="C121" s="20"/>
      <x:c r="D121" s="20"/>
      <x:c r="E121" s="20"/>
      <x:c r="F121" s="20"/>
      <x:c r="G121" s="20"/>
      <x:c r="H121" s="20"/>
      <x:c r="I121" s="20"/>
      <x:c r="J121" s="20"/>
      <x:c r="K121" s="23"/>
      <x:c r="L121" s="23"/>
      <x:c r="M121" s="23"/>
      <x:c r="N121" s="20"/>
      <x:c r="O121" s="23"/>
      <x:c r="P121" s="20"/>
      <x:c r="Q121" s="23"/>
      <x:c r="R121" s="20" t="str">
        <x:f>IF(A121="","",IF(AND(H121="Approved",M121&lt;TODAY()),"YES","NO"))</x:f>
      </x:c>
    </x:row>
    <x:row r="122">
      <x:c r="A122" s="20"/>
      <x:c r="B122" s="20"/>
      <x:c r="C122" s="20"/>
      <x:c r="D122" s="20"/>
      <x:c r="E122" s="20"/>
      <x:c r="F122" s="20"/>
      <x:c r="G122" s="20"/>
      <x:c r="H122" s="20"/>
      <x:c r="I122" s="20"/>
      <x:c r="J122" s="20"/>
      <x:c r="K122" s="23"/>
      <x:c r="L122" s="23"/>
      <x:c r="M122" s="23"/>
      <x:c r="N122" s="20"/>
      <x:c r="O122" s="23"/>
      <x:c r="P122" s="20"/>
      <x:c r="Q122" s="23"/>
      <x:c r="R122" s="20" t="str">
        <x:f>IF(A122="","",IF(AND(H122="Approved",M122&lt;TODAY()),"YES","NO"))</x:f>
      </x:c>
    </x:row>
    <x:row r="123">
      <x:c r="A123" s="20"/>
      <x:c r="B123" s="20"/>
      <x:c r="C123" s="20"/>
      <x:c r="D123" s="20"/>
      <x:c r="E123" s="20"/>
      <x:c r="F123" s="20"/>
      <x:c r="G123" s="20"/>
      <x:c r="H123" s="20"/>
      <x:c r="I123" s="20"/>
      <x:c r="J123" s="20"/>
      <x:c r="K123" s="23"/>
      <x:c r="L123" s="23"/>
      <x:c r="M123" s="23"/>
      <x:c r="N123" s="20"/>
      <x:c r="O123" s="23"/>
      <x:c r="P123" s="20"/>
      <x:c r="Q123" s="23"/>
      <x:c r="R123" s="20" t="str">
        <x:f>IF(A123="","",IF(AND(H123="Approved",M123&lt;TODAY()),"YES","NO"))</x:f>
      </x:c>
    </x:row>
    <x:row r="124">
      <x:c r="A124" s="20"/>
      <x:c r="B124" s="20"/>
      <x:c r="C124" s="20"/>
      <x:c r="D124" s="20"/>
      <x:c r="E124" s="20"/>
      <x:c r="F124" s="20"/>
      <x:c r="G124" s="20"/>
      <x:c r="H124" s="20"/>
      <x:c r="I124" s="20"/>
      <x:c r="J124" s="20"/>
      <x:c r="K124" s="23"/>
      <x:c r="L124" s="23"/>
      <x:c r="M124" s="23"/>
      <x:c r="N124" s="20"/>
      <x:c r="O124" s="23"/>
      <x:c r="P124" s="20"/>
      <x:c r="Q124" s="23"/>
      <x:c r="R124" s="20" t="str">
        <x:f>IF(A124="","",IF(AND(H124="Approved",M124&lt;TODAY()),"YES","NO"))</x:f>
      </x:c>
    </x:row>
    <x:row r="125">
      <x:c r="A125" s="20"/>
      <x:c r="B125" s="20"/>
      <x:c r="C125" s="20"/>
      <x:c r="D125" s="20"/>
      <x:c r="E125" s="20"/>
      <x:c r="F125" s="20"/>
      <x:c r="G125" s="20"/>
      <x:c r="H125" s="20"/>
      <x:c r="I125" s="20"/>
      <x:c r="J125" s="20"/>
      <x:c r="K125" s="23"/>
      <x:c r="L125" s="23"/>
      <x:c r="M125" s="23"/>
      <x:c r="N125" s="20"/>
      <x:c r="O125" s="23"/>
      <x:c r="P125" s="20"/>
      <x:c r="Q125" s="23"/>
      <x:c r="R125" s="20" t="str">
        <x:f>IF(A125="","",IF(AND(H125="Approved",M125&lt;TODAY()),"YES","NO"))</x:f>
      </x:c>
    </x:row>
    <x:row r="126">
      <x:c r="A126" s="20"/>
      <x:c r="B126" s="20"/>
      <x:c r="C126" s="20"/>
      <x:c r="D126" s="20"/>
      <x:c r="E126" s="20"/>
      <x:c r="F126" s="20"/>
      <x:c r="G126" s="20"/>
      <x:c r="H126" s="20"/>
      <x:c r="I126" s="20"/>
      <x:c r="J126" s="20"/>
      <x:c r="K126" s="23"/>
      <x:c r="L126" s="23"/>
      <x:c r="M126" s="23"/>
      <x:c r="N126" s="20"/>
      <x:c r="O126" s="23"/>
      <x:c r="P126" s="20"/>
      <x:c r="Q126" s="23"/>
      <x:c r="R126" s="20" t="str">
        <x:f>IF(A126="","",IF(AND(H126="Approved",M126&lt;TODAY()),"YES","NO"))</x:f>
      </x:c>
    </x:row>
    <x:row r="127">
      <x:c r="A127" s="20"/>
      <x:c r="B127" s="20"/>
      <x:c r="C127" s="20"/>
      <x:c r="D127" s="20"/>
      <x:c r="E127" s="20"/>
      <x:c r="F127" s="20"/>
      <x:c r="G127" s="20"/>
      <x:c r="H127" s="20"/>
      <x:c r="I127" s="20"/>
      <x:c r="J127" s="20"/>
      <x:c r="K127" s="23"/>
      <x:c r="L127" s="23"/>
      <x:c r="M127" s="23"/>
      <x:c r="N127" s="20"/>
      <x:c r="O127" s="23"/>
      <x:c r="P127" s="20"/>
      <x:c r="Q127" s="23"/>
      <x:c r="R127" s="20" t="str">
        <x:f>IF(A127="","",IF(AND(H127="Approved",M127&lt;TODAY()),"YES","NO"))</x:f>
      </x:c>
    </x:row>
    <x:row r="128">
      <x:c r="A128" s="20"/>
      <x:c r="B128" s="20"/>
      <x:c r="C128" s="20"/>
      <x:c r="D128" s="20"/>
      <x:c r="E128" s="20"/>
      <x:c r="F128" s="20"/>
      <x:c r="G128" s="20"/>
      <x:c r="H128" s="20"/>
      <x:c r="I128" s="20"/>
      <x:c r="J128" s="20"/>
      <x:c r="K128" s="23"/>
      <x:c r="L128" s="23"/>
      <x:c r="M128" s="23"/>
      <x:c r="N128" s="20"/>
      <x:c r="O128" s="23"/>
      <x:c r="P128" s="20"/>
      <x:c r="Q128" s="23"/>
      <x:c r="R128" s="20" t="str">
        <x:f>IF(A128="","",IF(AND(H128="Approved",M128&lt;TODAY()),"YES","NO"))</x:f>
      </x:c>
    </x:row>
    <x:row r="129">
      <x:c r="A129" s="20"/>
      <x:c r="B129" s="20"/>
      <x:c r="C129" s="20"/>
      <x:c r="D129" s="20"/>
      <x:c r="E129" s="20"/>
      <x:c r="F129" s="20"/>
      <x:c r="G129" s="20"/>
      <x:c r="H129" s="20"/>
      <x:c r="I129" s="20"/>
      <x:c r="J129" s="20"/>
      <x:c r="K129" s="23"/>
      <x:c r="L129" s="23"/>
      <x:c r="M129" s="23"/>
      <x:c r="N129" s="20"/>
      <x:c r="O129" s="23"/>
      <x:c r="P129" s="20"/>
      <x:c r="Q129" s="23"/>
      <x:c r="R129" s="20" t="str">
        <x:f>IF(A129="","",IF(AND(H129="Approved",M129&lt;TODAY()),"YES","NO"))</x:f>
      </x:c>
    </x:row>
    <x:row r="130">
      <x:c r="A130" s="20"/>
      <x:c r="B130" s="20"/>
      <x:c r="C130" s="20"/>
      <x:c r="D130" s="20"/>
      <x:c r="E130" s="20"/>
      <x:c r="F130" s="20"/>
      <x:c r="G130" s="20"/>
      <x:c r="H130" s="20"/>
      <x:c r="I130" s="20"/>
      <x:c r="J130" s="20"/>
      <x:c r="K130" s="23"/>
      <x:c r="L130" s="23"/>
      <x:c r="M130" s="23"/>
      <x:c r="N130" s="20"/>
      <x:c r="O130" s="23"/>
      <x:c r="P130" s="20"/>
      <x:c r="Q130" s="23"/>
      <x:c r="R130" s="20" t="str">
        <x:f>IF(A130="","",IF(AND(H130="Approved",M130&lt;TODAY()),"YES","NO"))</x:f>
      </x:c>
    </x:row>
    <x:row r="131">
      <x:c r="A131" s="20"/>
      <x:c r="B131" s="20"/>
      <x:c r="C131" s="20"/>
      <x:c r="D131" s="20"/>
      <x:c r="E131" s="20"/>
      <x:c r="F131" s="20"/>
      <x:c r="G131" s="20"/>
      <x:c r="H131" s="20"/>
      <x:c r="I131" s="20"/>
      <x:c r="J131" s="20"/>
      <x:c r="K131" s="23"/>
      <x:c r="L131" s="23"/>
      <x:c r="M131" s="23"/>
      <x:c r="N131" s="20"/>
      <x:c r="O131" s="23"/>
      <x:c r="P131" s="20"/>
      <x:c r="Q131" s="23"/>
      <x:c r="R131" s="20" t="str">
        <x:f>IF(A131="","",IF(AND(H131="Approved",M131&lt;TODAY()),"YES","NO"))</x:f>
      </x:c>
    </x:row>
    <x:row r="132">
      <x:c r="A132" s="20"/>
      <x:c r="B132" s="20"/>
      <x:c r="C132" s="20"/>
      <x:c r="D132" s="20"/>
      <x:c r="E132" s="20"/>
      <x:c r="F132" s="20"/>
      <x:c r="G132" s="20"/>
      <x:c r="H132" s="20"/>
      <x:c r="I132" s="20"/>
      <x:c r="J132" s="20"/>
      <x:c r="K132" s="23"/>
      <x:c r="L132" s="23"/>
      <x:c r="M132" s="23"/>
      <x:c r="N132" s="20"/>
      <x:c r="O132" s="23"/>
      <x:c r="P132" s="20"/>
      <x:c r="Q132" s="23"/>
      <x:c r="R132" s="20" t="str">
        <x:f>IF(A132="","",IF(AND(H132="Approved",M132&lt;TODAY()),"YES","NO"))</x:f>
      </x:c>
    </x:row>
    <x:row r="133">
      <x:c r="A133" s="20"/>
      <x:c r="B133" s="20"/>
      <x:c r="C133" s="20"/>
      <x:c r="D133" s="20"/>
      <x:c r="E133" s="20"/>
      <x:c r="F133" s="20"/>
      <x:c r="G133" s="20"/>
      <x:c r="H133" s="20"/>
      <x:c r="I133" s="20"/>
      <x:c r="J133" s="20"/>
      <x:c r="K133" s="23"/>
      <x:c r="L133" s="23"/>
      <x:c r="M133" s="23"/>
      <x:c r="N133" s="20"/>
      <x:c r="O133" s="23"/>
      <x:c r="P133" s="20"/>
      <x:c r="Q133" s="23"/>
      <x:c r="R133" s="20" t="str">
        <x:f>IF(A133="","",IF(AND(H133="Approved",M133&lt;TODAY()),"YES","NO"))</x:f>
      </x:c>
    </x:row>
    <x:row r="134">
      <x:c r="A134" s="20"/>
      <x:c r="B134" s="20"/>
      <x:c r="C134" s="20"/>
      <x:c r="D134" s="20"/>
      <x:c r="E134" s="20"/>
      <x:c r="F134" s="20"/>
      <x:c r="G134" s="20"/>
      <x:c r="H134" s="20"/>
      <x:c r="I134" s="20"/>
      <x:c r="J134" s="20"/>
      <x:c r="K134" s="23"/>
      <x:c r="L134" s="23"/>
      <x:c r="M134" s="23"/>
      <x:c r="N134" s="20"/>
      <x:c r="O134" s="23"/>
      <x:c r="P134" s="20"/>
      <x:c r="Q134" s="23"/>
      <x:c r="R134" s="20" t="str">
        <x:f>IF(A134="","",IF(AND(H134="Approved",M134&lt;TODAY()),"YES","NO"))</x:f>
      </x:c>
    </x:row>
    <x:row r="135">
      <x:c r="A135" s="20"/>
      <x:c r="B135" s="20"/>
      <x:c r="C135" s="20"/>
      <x:c r="D135" s="20"/>
      <x:c r="E135" s="20"/>
      <x:c r="F135" s="20"/>
      <x:c r="G135" s="20"/>
      <x:c r="H135" s="20"/>
      <x:c r="I135" s="20"/>
      <x:c r="J135" s="20"/>
      <x:c r="K135" s="23"/>
      <x:c r="L135" s="23"/>
      <x:c r="M135" s="23"/>
      <x:c r="N135" s="20"/>
      <x:c r="O135" s="23"/>
      <x:c r="P135" s="20"/>
      <x:c r="Q135" s="23"/>
      <x:c r="R135" s="20" t="str">
        <x:f>IF(A135="","",IF(AND(H135="Approved",M135&lt;TODAY()),"YES","NO"))</x:f>
      </x:c>
    </x:row>
    <x:row r="136">
      <x:c r="A136" s="20"/>
      <x:c r="B136" s="20"/>
      <x:c r="C136" s="20"/>
      <x:c r="D136" s="20"/>
      <x:c r="E136" s="20"/>
      <x:c r="F136" s="20"/>
      <x:c r="G136" s="20"/>
      <x:c r="H136" s="20"/>
      <x:c r="I136" s="20"/>
      <x:c r="J136" s="20"/>
      <x:c r="K136" s="23"/>
      <x:c r="L136" s="23"/>
      <x:c r="M136" s="23"/>
      <x:c r="N136" s="20"/>
      <x:c r="O136" s="23"/>
      <x:c r="P136" s="20"/>
      <x:c r="Q136" s="23"/>
      <x:c r="R136" s="20" t="str">
        <x:f>IF(A136="","",IF(AND(H136="Approved",M136&lt;TODAY()),"YES","NO"))</x:f>
      </x:c>
    </x:row>
    <x:row r="137">
      <x:c r="A137" s="20"/>
      <x:c r="B137" s="20"/>
      <x:c r="C137" s="20"/>
      <x:c r="D137" s="20"/>
      <x:c r="E137" s="20"/>
      <x:c r="F137" s="20"/>
      <x:c r="G137" s="20"/>
      <x:c r="H137" s="20"/>
      <x:c r="I137" s="20"/>
      <x:c r="J137" s="20"/>
      <x:c r="K137" s="23"/>
      <x:c r="L137" s="23"/>
      <x:c r="M137" s="23"/>
      <x:c r="N137" s="20"/>
      <x:c r="O137" s="23"/>
      <x:c r="P137" s="20"/>
      <x:c r="Q137" s="23"/>
      <x:c r="R137" s="20" t="str">
        <x:f>IF(A137="","",IF(AND(H137="Approved",M137&lt;TODAY()),"YES","NO"))</x:f>
      </x:c>
    </x:row>
    <x:row r="138">
      <x:c r="A138" s="20"/>
      <x:c r="B138" s="20"/>
      <x:c r="C138" s="20"/>
      <x:c r="D138" s="20"/>
      <x:c r="E138" s="20"/>
      <x:c r="F138" s="20"/>
      <x:c r="G138" s="20"/>
      <x:c r="H138" s="20"/>
      <x:c r="I138" s="20"/>
      <x:c r="J138" s="20"/>
      <x:c r="K138" s="23"/>
      <x:c r="L138" s="23"/>
      <x:c r="M138" s="23"/>
      <x:c r="N138" s="20"/>
      <x:c r="O138" s="23"/>
      <x:c r="P138" s="20"/>
      <x:c r="Q138" s="23"/>
      <x:c r="R138" s="20" t="str">
        <x:f>IF(A138="","",IF(AND(H138="Approved",M138&lt;TODAY()),"YES","NO"))</x:f>
      </x:c>
    </x:row>
    <x:row r="139">
      <x:c r="A139" s="20"/>
      <x:c r="B139" s="20"/>
      <x:c r="C139" s="20"/>
      <x:c r="D139" s="20"/>
      <x:c r="E139" s="20"/>
      <x:c r="F139" s="20"/>
      <x:c r="G139" s="20"/>
      <x:c r="H139" s="20"/>
      <x:c r="I139" s="20"/>
      <x:c r="J139" s="20"/>
      <x:c r="K139" s="23"/>
      <x:c r="L139" s="23"/>
      <x:c r="M139" s="23"/>
      <x:c r="N139" s="20"/>
      <x:c r="O139" s="23"/>
      <x:c r="P139" s="20"/>
      <x:c r="Q139" s="23"/>
      <x:c r="R139" s="20" t="str">
        <x:f>IF(A139="","",IF(AND(H139="Approved",M139&lt;TODAY()),"YES","NO"))</x:f>
      </x:c>
    </x:row>
    <x:row r="140">
      <x:c r="A140" s="20"/>
      <x:c r="B140" s="20"/>
      <x:c r="C140" s="20"/>
      <x:c r="D140" s="20"/>
      <x:c r="E140" s="20"/>
      <x:c r="F140" s="20"/>
      <x:c r="G140" s="20"/>
      <x:c r="H140" s="20"/>
      <x:c r="I140" s="20"/>
      <x:c r="J140" s="20"/>
      <x:c r="K140" s="23"/>
      <x:c r="L140" s="23"/>
      <x:c r="M140" s="23"/>
      <x:c r="N140" s="20"/>
      <x:c r="O140" s="23"/>
      <x:c r="P140" s="20"/>
      <x:c r="Q140" s="23"/>
      <x:c r="R140" s="20" t="str">
        <x:f>IF(A140="","",IF(AND(H140="Approved",M140&lt;TODAY()),"YES","NO"))</x:f>
      </x:c>
    </x:row>
    <x:row r="141">
      <x:c r="A141" s="20"/>
      <x:c r="B141" s="20"/>
      <x:c r="C141" s="20"/>
      <x:c r="D141" s="20"/>
      <x:c r="E141" s="20"/>
      <x:c r="F141" s="20"/>
      <x:c r="G141" s="20"/>
      <x:c r="H141" s="20"/>
      <x:c r="I141" s="20"/>
      <x:c r="J141" s="20"/>
      <x:c r="K141" s="23"/>
      <x:c r="L141" s="23"/>
      <x:c r="M141" s="23"/>
      <x:c r="N141" s="20"/>
      <x:c r="O141" s="23"/>
      <x:c r="P141" s="20"/>
      <x:c r="Q141" s="23"/>
      <x:c r="R141" s="20" t="str">
        <x:f>IF(A141="","",IF(AND(H141="Approved",M141&lt;TODAY()),"YES","NO"))</x:f>
      </x:c>
    </x:row>
    <x:row r="142">
      <x:c r="A142" s="20"/>
      <x:c r="B142" s="20"/>
      <x:c r="C142" s="20"/>
      <x:c r="D142" s="20"/>
      <x:c r="E142" s="20"/>
      <x:c r="F142" s="20"/>
      <x:c r="G142" s="20"/>
      <x:c r="H142" s="20"/>
      <x:c r="I142" s="20"/>
      <x:c r="J142" s="20"/>
      <x:c r="K142" s="23"/>
      <x:c r="L142" s="23"/>
      <x:c r="M142" s="23"/>
      <x:c r="N142" s="20"/>
      <x:c r="O142" s="23"/>
      <x:c r="P142" s="20"/>
      <x:c r="Q142" s="23"/>
      <x:c r="R142" s="20" t="str">
        <x:f>IF(A142="","",IF(AND(H142="Approved",M142&lt;TODAY()),"YES","NO"))</x:f>
      </x:c>
    </x:row>
    <x:row r="143">
      <x:c r="A143" s="20"/>
      <x:c r="B143" s="20"/>
      <x:c r="C143" s="20"/>
      <x:c r="D143" s="20"/>
      <x:c r="E143" s="20"/>
      <x:c r="F143" s="20"/>
      <x:c r="G143" s="20"/>
      <x:c r="H143" s="20"/>
      <x:c r="I143" s="20"/>
      <x:c r="J143" s="20"/>
      <x:c r="K143" s="23"/>
      <x:c r="L143" s="23"/>
      <x:c r="M143" s="23"/>
      <x:c r="N143" s="20"/>
      <x:c r="O143" s="23"/>
      <x:c r="P143" s="20"/>
      <x:c r="Q143" s="23"/>
      <x:c r="R143" s="20" t="str">
        <x:f>IF(A143="","",IF(AND(H143="Approved",M143&lt;TODAY()),"YES","NO"))</x:f>
      </x:c>
    </x:row>
    <x:row r="144">
      <x:c r="A144" s="20"/>
      <x:c r="B144" s="20"/>
      <x:c r="C144" s="20"/>
      <x:c r="D144" s="20"/>
      <x:c r="E144" s="20"/>
      <x:c r="F144" s="20"/>
      <x:c r="G144" s="20"/>
      <x:c r="H144" s="20"/>
      <x:c r="I144" s="20"/>
      <x:c r="J144" s="20"/>
      <x:c r="K144" s="23"/>
      <x:c r="L144" s="23"/>
      <x:c r="M144" s="23"/>
      <x:c r="N144" s="20"/>
      <x:c r="O144" s="23"/>
      <x:c r="P144" s="20"/>
      <x:c r="Q144" s="23"/>
      <x:c r="R144" s="20" t="str">
        <x:f>IF(A144="","",IF(AND(H144="Approved",M144&lt;TODAY()),"YES","NO"))</x:f>
      </x:c>
    </x:row>
    <x:row r="145">
      <x:c r="A145" s="20"/>
      <x:c r="B145" s="20"/>
      <x:c r="C145" s="20"/>
      <x:c r="D145" s="20"/>
      <x:c r="E145" s="20"/>
      <x:c r="F145" s="20"/>
      <x:c r="G145" s="20"/>
      <x:c r="H145" s="20"/>
      <x:c r="I145" s="20"/>
      <x:c r="J145" s="20"/>
      <x:c r="K145" s="23"/>
      <x:c r="L145" s="23"/>
      <x:c r="M145" s="23"/>
      <x:c r="N145" s="20"/>
      <x:c r="O145" s="23"/>
      <x:c r="P145" s="20"/>
      <x:c r="Q145" s="23"/>
      <x:c r="R145" s="20" t="str">
        <x:f>IF(A145="","",IF(AND(H145="Approved",M145&lt;TODAY()),"YES","NO"))</x:f>
      </x:c>
    </x:row>
    <x:row r="146">
      <x:c r="A146" s="20"/>
      <x:c r="B146" s="20"/>
      <x:c r="C146" s="20"/>
      <x:c r="D146" s="20"/>
      <x:c r="E146" s="20"/>
      <x:c r="F146" s="20"/>
      <x:c r="G146" s="20"/>
      <x:c r="H146" s="20"/>
      <x:c r="I146" s="20"/>
      <x:c r="J146" s="20"/>
      <x:c r="K146" s="23"/>
      <x:c r="L146" s="23"/>
      <x:c r="M146" s="23"/>
      <x:c r="N146" s="20"/>
      <x:c r="O146" s="23"/>
      <x:c r="P146" s="20"/>
      <x:c r="Q146" s="23"/>
      <x:c r="R146" s="20" t="str">
        <x:f>IF(A146="","",IF(AND(H146="Approved",M146&lt;TODAY()),"YES","NO"))</x:f>
      </x:c>
    </x:row>
    <x:row r="147">
      <x:c r="A147" s="20"/>
      <x:c r="B147" s="20"/>
      <x:c r="C147" s="20"/>
      <x:c r="D147" s="20"/>
      <x:c r="E147" s="20"/>
      <x:c r="F147" s="20"/>
      <x:c r="G147" s="20"/>
      <x:c r="H147" s="20"/>
      <x:c r="I147" s="20"/>
      <x:c r="J147" s="20"/>
      <x:c r="K147" s="23"/>
      <x:c r="L147" s="23"/>
      <x:c r="M147" s="23"/>
      <x:c r="N147" s="20"/>
      <x:c r="O147" s="23"/>
      <x:c r="P147" s="20"/>
      <x:c r="Q147" s="23"/>
      <x:c r="R147" s="20" t="str">
        <x:f>IF(A147="","",IF(AND(H147="Approved",M147&lt;TODAY()),"YES","NO"))</x:f>
      </x:c>
    </x:row>
    <x:row r="148">
      <x:c r="A148" s="20"/>
      <x:c r="B148" s="20"/>
      <x:c r="C148" s="20"/>
      <x:c r="D148" s="20"/>
      <x:c r="E148" s="20"/>
      <x:c r="F148" s="20"/>
      <x:c r="G148" s="20"/>
      <x:c r="H148" s="20"/>
      <x:c r="I148" s="20"/>
      <x:c r="J148" s="20"/>
      <x:c r="K148" s="23"/>
      <x:c r="L148" s="23"/>
      <x:c r="M148" s="23"/>
      <x:c r="N148" s="20"/>
      <x:c r="O148" s="23"/>
      <x:c r="P148" s="20"/>
      <x:c r="Q148" s="23"/>
      <x:c r="R148" s="20" t="str">
        <x:f>IF(A148="","",IF(AND(H148="Approved",M148&lt;TODAY()),"YES","NO"))</x:f>
      </x:c>
    </x:row>
    <x:row r="149">
      <x:c r="A149" s="20"/>
      <x:c r="B149" s="20"/>
      <x:c r="C149" s="20"/>
      <x:c r="D149" s="20"/>
      <x:c r="E149" s="20"/>
      <x:c r="F149" s="20"/>
      <x:c r="G149" s="20"/>
      <x:c r="H149" s="20"/>
      <x:c r="I149" s="20"/>
      <x:c r="J149" s="20"/>
      <x:c r="K149" s="23"/>
      <x:c r="L149" s="23"/>
      <x:c r="M149" s="23"/>
      <x:c r="N149" s="20"/>
      <x:c r="O149" s="23"/>
      <x:c r="P149" s="20"/>
      <x:c r="Q149" s="23"/>
      <x:c r="R149" s="20" t="str">
        <x:f>IF(A149="","",IF(AND(H149="Approved",M149&lt;TODAY()),"YES","NO"))</x:f>
      </x:c>
    </x:row>
    <x:row r="150">
      <x:c r="A150" s="20"/>
      <x:c r="B150" s="20"/>
      <x:c r="C150" s="20"/>
      <x:c r="D150" s="20"/>
      <x:c r="E150" s="20"/>
      <x:c r="F150" s="20"/>
      <x:c r="G150" s="20"/>
      <x:c r="H150" s="20"/>
      <x:c r="I150" s="20"/>
      <x:c r="J150" s="20"/>
      <x:c r="K150" s="23"/>
      <x:c r="L150" s="23"/>
      <x:c r="M150" s="23"/>
      <x:c r="N150" s="20"/>
      <x:c r="O150" s="23"/>
      <x:c r="P150" s="20"/>
      <x:c r="Q150" s="23"/>
      <x:c r="R150" s="20" t="str">
        <x:f>IF(A150="","",IF(AND(H150="Approved",M150&lt;TODAY()),"YES","NO"))</x:f>
      </x:c>
    </x:row>
    <x:row r="151">
      <x:c r="A151" s="20"/>
      <x:c r="B151" s="20"/>
      <x:c r="C151" s="20"/>
      <x:c r="D151" s="20"/>
      <x:c r="E151" s="20"/>
      <x:c r="F151" s="20"/>
      <x:c r="G151" s="20"/>
      <x:c r="H151" s="20"/>
      <x:c r="I151" s="20"/>
      <x:c r="J151" s="20"/>
      <x:c r="K151" s="23"/>
      <x:c r="L151" s="23"/>
      <x:c r="M151" s="23"/>
      <x:c r="N151" s="20"/>
      <x:c r="O151" s="23"/>
      <x:c r="P151" s="20"/>
      <x:c r="Q151" s="23"/>
      <x:c r="R151" s="20" t="str">
        <x:f>IF(A151="","",IF(AND(H151="Approved",M151&lt;TODAY()),"YES","NO"))</x:f>
      </x:c>
    </x:row>
    <x:row r="152">
      <x:c r="A152" s="20"/>
      <x:c r="B152" s="20"/>
      <x:c r="C152" s="20"/>
      <x:c r="D152" s="20"/>
      <x:c r="E152" s="20"/>
      <x:c r="F152" s="20"/>
      <x:c r="G152" s="20"/>
      <x:c r="H152" s="20"/>
      <x:c r="I152" s="20"/>
      <x:c r="J152" s="20"/>
      <x:c r="K152" s="23"/>
      <x:c r="L152" s="23"/>
      <x:c r="M152" s="23"/>
      <x:c r="N152" s="20"/>
      <x:c r="O152" s="23"/>
      <x:c r="P152" s="20"/>
      <x:c r="Q152" s="23"/>
      <x:c r="R152" s="20" t="str">
        <x:f>IF(A152="","",IF(AND(H152="Approved",M152&lt;TODAY()),"YES","NO"))</x:f>
      </x:c>
    </x:row>
    <x:row r="153">
      <x:c r="A153" s="20"/>
      <x:c r="B153" s="20"/>
      <x:c r="C153" s="20"/>
      <x:c r="D153" s="20"/>
      <x:c r="E153" s="20"/>
      <x:c r="F153" s="20"/>
      <x:c r="G153" s="20"/>
      <x:c r="H153" s="20"/>
      <x:c r="I153" s="20"/>
      <x:c r="J153" s="20"/>
      <x:c r="K153" s="23"/>
      <x:c r="L153" s="23"/>
      <x:c r="M153" s="23"/>
      <x:c r="N153" s="20"/>
      <x:c r="O153" s="23"/>
      <x:c r="P153" s="20"/>
      <x:c r="Q153" s="23"/>
      <x:c r="R153" s="20" t="str">
        <x:f>IF(A153="","",IF(AND(H153="Approved",M153&lt;TODAY()),"YES","NO"))</x:f>
      </x:c>
    </x:row>
    <x:row r="154">
      <x:c r="A154" s="20"/>
      <x:c r="B154" s="20"/>
      <x:c r="C154" s="20"/>
      <x:c r="D154" s="20"/>
      <x:c r="E154" s="20"/>
      <x:c r="F154" s="20"/>
      <x:c r="G154" s="20"/>
      <x:c r="H154" s="20"/>
      <x:c r="I154" s="20"/>
      <x:c r="J154" s="20"/>
      <x:c r="K154" s="23"/>
      <x:c r="L154" s="23"/>
      <x:c r="M154" s="23"/>
      <x:c r="N154" s="20"/>
      <x:c r="O154" s="23"/>
      <x:c r="P154" s="20"/>
      <x:c r="Q154" s="23"/>
      <x:c r="R154" s="20" t="str">
        <x:f>IF(A154="","",IF(AND(H154="Approved",M154&lt;TODAY()),"YES","NO"))</x:f>
      </x:c>
    </x:row>
    <x:row r="155">
      <x:c r="A155" s="20"/>
      <x:c r="B155" s="20"/>
      <x:c r="C155" s="20"/>
      <x:c r="D155" s="20"/>
      <x:c r="E155" s="20"/>
      <x:c r="F155" s="20"/>
      <x:c r="G155" s="20"/>
      <x:c r="H155" s="20"/>
      <x:c r="I155" s="20"/>
      <x:c r="J155" s="20"/>
      <x:c r="K155" s="23"/>
      <x:c r="L155" s="23"/>
      <x:c r="M155" s="23"/>
      <x:c r="N155" s="20"/>
      <x:c r="O155" s="23"/>
      <x:c r="P155" s="20"/>
      <x:c r="Q155" s="23"/>
      <x:c r="R155" s="20" t="str">
        <x:f>IF(A155="","",IF(AND(H155="Approved",M155&lt;TODAY()),"YES","NO"))</x:f>
      </x:c>
    </x:row>
    <x:row r="156">
      <x:c r="A156" s="20"/>
      <x:c r="B156" s="20"/>
      <x:c r="C156" s="20"/>
      <x:c r="D156" s="20"/>
      <x:c r="E156" s="20"/>
      <x:c r="F156" s="20"/>
      <x:c r="G156" s="20"/>
      <x:c r="H156" s="20"/>
      <x:c r="I156" s="20"/>
      <x:c r="J156" s="20"/>
      <x:c r="K156" s="23"/>
      <x:c r="L156" s="23"/>
      <x:c r="M156" s="23"/>
      <x:c r="N156" s="20"/>
      <x:c r="O156" s="23"/>
      <x:c r="P156" s="20"/>
      <x:c r="Q156" s="23"/>
      <x:c r="R156" s="20" t="str">
        <x:f>IF(A156="","",IF(AND(H156="Approved",M156&lt;TODAY()),"YES","NO"))</x:f>
      </x:c>
    </x:row>
    <x:row r="157">
      <x:c r="A157" s="20"/>
      <x:c r="B157" s="20"/>
      <x:c r="C157" s="20"/>
      <x:c r="D157" s="20"/>
      <x:c r="E157" s="20"/>
      <x:c r="F157" s="20"/>
      <x:c r="G157" s="20"/>
      <x:c r="H157" s="20"/>
      <x:c r="I157" s="20"/>
      <x:c r="J157" s="20"/>
      <x:c r="K157" s="23"/>
      <x:c r="L157" s="23"/>
      <x:c r="M157" s="23"/>
      <x:c r="N157" s="20"/>
      <x:c r="O157" s="23"/>
      <x:c r="P157" s="20"/>
      <x:c r="Q157" s="23"/>
      <x:c r="R157" s="20" t="str">
        <x:f>IF(A157="","",IF(AND(H157="Approved",M157&lt;TODAY()),"YES","NO"))</x:f>
      </x:c>
    </x:row>
    <x:row r="158">
      <x:c r="A158" s="20"/>
      <x:c r="B158" s="20"/>
      <x:c r="C158" s="20"/>
      <x:c r="D158" s="20"/>
      <x:c r="E158" s="20"/>
      <x:c r="F158" s="20"/>
      <x:c r="G158" s="20"/>
      <x:c r="H158" s="20"/>
      <x:c r="I158" s="20"/>
      <x:c r="J158" s="20"/>
      <x:c r="K158" s="23"/>
      <x:c r="L158" s="23"/>
      <x:c r="M158" s="23"/>
      <x:c r="N158" s="20"/>
      <x:c r="O158" s="23"/>
      <x:c r="P158" s="20"/>
      <x:c r="Q158" s="23"/>
      <x:c r="R158" s="20" t="str">
        <x:f>IF(A158="","",IF(AND(H158="Approved",M158&lt;TODAY()),"YES","NO"))</x:f>
      </x:c>
    </x:row>
    <x:row r="159">
      <x:c r="A159" s="20"/>
      <x:c r="B159" s="20"/>
      <x:c r="C159" s="20"/>
      <x:c r="D159" s="20"/>
      <x:c r="E159" s="20"/>
      <x:c r="F159" s="20"/>
      <x:c r="G159" s="20"/>
      <x:c r="H159" s="20"/>
      <x:c r="I159" s="20"/>
      <x:c r="J159" s="20"/>
      <x:c r="K159" s="23"/>
      <x:c r="L159" s="23"/>
      <x:c r="M159" s="23"/>
      <x:c r="N159" s="20"/>
      <x:c r="O159" s="23"/>
      <x:c r="P159" s="20"/>
      <x:c r="Q159" s="23"/>
      <x:c r="R159" s="20" t="str">
        <x:f>IF(A159="","",IF(AND(H159="Approved",M159&lt;TODAY()),"YES","NO"))</x:f>
      </x:c>
    </x:row>
    <x:row r="160">
      <x:c r="A160" s="20"/>
      <x:c r="B160" s="20"/>
      <x:c r="C160" s="20"/>
      <x:c r="D160" s="20"/>
      <x:c r="E160" s="20"/>
      <x:c r="F160" s="20"/>
      <x:c r="G160" s="20"/>
      <x:c r="H160" s="20"/>
      <x:c r="I160" s="20"/>
      <x:c r="J160" s="20"/>
      <x:c r="K160" s="23"/>
      <x:c r="L160" s="23"/>
      <x:c r="M160" s="23"/>
      <x:c r="N160" s="20"/>
      <x:c r="O160" s="23"/>
      <x:c r="P160" s="20"/>
      <x:c r="Q160" s="23"/>
      <x:c r="R160" s="20" t="str">
        <x:f>IF(A160="","",IF(AND(H160="Approved",M160&lt;TODAY()),"YES","NO"))</x:f>
      </x:c>
    </x:row>
    <x:row r="161">
      <x:c r="A161" s="20"/>
      <x:c r="B161" s="20"/>
      <x:c r="C161" s="20"/>
      <x:c r="D161" s="20"/>
      <x:c r="E161" s="20"/>
      <x:c r="F161" s="20"/>
      <x:c r="G161" s="20"/>
      <x:c r="H161" s="20"/>
      <x:c r="I161" s="20"/>
      <x:c r="J161" s="20"/>
      <x:c r="K161" s="23"/>
      <x:c r="L161" s="23"/>
      <x:c r="M161" s="23"/>
      <x:c r="N161" s="20"/>
      <x:c r="O161" s="23"/>
      <x:c r="P161" s="20"/>
      <x:c r="Q161" s="23"/>
      <x:c r="R161" s="20" t="str">
        <x:f>IF(A161="","",IF(AND(H161="Approved",M161&lt;TODAY()),"YES","NO"))</x:f>
      </x:c>
    </x:row>
    <x:row r="162">
      <x:c r="A162" s="20"/>
      <x:c r="B162" s="20"/>
      <x:c r="C162" s="20"/>
      <x:c r="D162" s="20"/>
      <x:c r="E162" s="20"/>
      <x:c r="F162" s="20"/>
      <x:c r="G162" s="20"/>
      <x:c r="H162" s="20"/>
      <x:c r="I162" s="20"/>
      <x:c r="J162" s="20"/>
      <x:c r="K162" s="23"/>
      <x:c r="L162" s="23"/>
      <x:c r="M162" s="23"/>
      <x:c r="N162" s="20"/>
      <x:c r="O162" s="23"/>
      <x:c r="P162" s="20"/>
      <x:c r="Q162" s="23"/>
      <x:c r="R162" s="20" t="str">
        <x:f>IF(A162="","",IF(AND(H162="Approved",M162&lt;TODAY()),"YES","NO"))</x:f>
      </x:c>
    </x:row>
    <x:row r="163">
      <x:c r="A163" s="20"/>
      <x:c r="B163" s="20"/>
      <x:c r="C163" s="20"/>
      <x:c r="D163" s="20"/>
      <x:c r="E163" s="20"/>
      <x:c r="F163" s="20"/>
      <x:c r="G163" s="20"/>
      <x:c r="H163" s="20"/>
      <x:c r="I163" s="20"/>
      <x:c r="J163" s="20"/>
      <x:c r="K163" s="23"/>
      <x:c r="L163" s="23"/>
      <x:c r="M163" s="23"/>
      <x:c r="N163" s="20"/>
      <x:c r="O163" s="23"/>
      <x:c r="P163" s="20"/>
      <x:c r="Q163" s="23"/>
      <x:c r="R163" s="20" t="str">
        <x:f>IF(A163="","",IF(AND(H163="Approved",M163&lt;TODAY()),"YES","NO"))</x:f>
      </x:c>
    </x:row>
    <x:row r="164">
      <x:c r="A164" s="20"/>
      <x:c r="B164" s="20"/>
      <x:c r="C164" s="20"/>
      <x:c r="D164" s="20"/>
      <x:c r="E164" s="20"/>
      <x:c r="F164" s="20"/>
      <x:c r="G164" s="20"/>
      <x:c r="H164" s="20"/>
      <x:c r="I164" s="20"/>
      <x:c r="J164" s="20"/>
      <x:c r="K164" s="23"/>
      <x:c r="L164" s="23"/>
      <x:c r="M164" s="23"/>
      <x:c r="N164" s="20"/>
      <x:c r="O164" s="23"/>
      <x:c r="P164" s="20"/>
      <x:c r="Q164" s="23"/>
      <x:c r="R164" s="20" t="str">
        <x:f>IF(A164="","",IF(AND(H164="Approved",M164&lt;TODAY()),"YES","NO"))</x:f>
      </x:c>
    </x:row>
    <x:row r="165">
      <x:c r="A165" s="20"/>
      <x:c r="B165" s="20"/>
      <x:c r="C165" s="20"/>
      <x:c r="D165" s="20"/>
      <x:c r="E165" s="20"/>
      <x:c r="F165" s="20"/>
      <x:c r="G165" s="20"/>
      <x:c r="H165" s="20"/>
      <x:c r="I165" s="20"/>
      <x:c r="J165" s="20"/>
      <x:c r="K165" s="23"/>
      <x:c r="L165" s="23"/>
      <x:c r="M165" s="23"/>
      <x:c r="N165" s="20"/>
      <x:c r="O165" s="23"/>
      <x:c r="P165" s="20"/>
      <x:c r="Q165" s="23"/>
      <x:c r="R165" s="20" t="str">
        <x:f>IF(A165="","",IF(AND(H165="Approved",M165&lt;TODAY()),"YES","NO"))</x:f>
      </x:c>
    </x:row>
    <x:row r="166">
      <x:c r="A166" s="20"/>
      <x:c r="B166" s="20"/>
      <x:c r="C166" s="20"/>
      <x:c r="D166" s="20"/>
      <x:c r="E166" s="20"/>
      <x:c r="F166" s="20"/>
      <x:c r="G166" s="20"/>
      <x:c r="H166" s="20"/>
      <x:c r="I166" s="20"/>
      <x:c r="J166" s="20"/>
      <x:c r="K166" s="23"/>
      <x:c r="L166" s="23"/>
      <x:c r="M166" s="23"/>
      <x:c r="N166" s="20"/>
      <x:c r="O166" s="23"/>
      <x:c r="P166" s="20"/>
      <x:c r="Q166" s="23"/>
      <x:c r="R166" s="20" t="str">
        <x:f>IF(A166="","",IF(AND(H166="Approved",M166&lt;TODAY()),"YES","NO"))</x:f>
      </x:c>
    </x:row>
    <x:row r="167">
      <x:c r="A167" s="20"/>
      <x:c r="B167" s="20"/>
      <x:c r="C167" s="20"/>
      <x:c r="D167" s="20"/>
      <x:c r="E167" s="20"/>
      <x:c r="F167" s="20"/>
      <x:c r="G167" s="20"/>
      <x:c r="H167" s="20"/>
      <x:c r="I167" s="20"/>
      <x:c r="J167" s="20"/>
      <x:c r="K167" s="23"/>
      <x:c r="L167" s="23"/>
      <x:c r="M167" s="23"/>
      <x:c r="N167" s="20"/>
      <x:c r="O167" s="23"/>
      <x:c r="P167" s="20"/>
      <x:c r="Q167" s="23"/>
      <x:c r="R167" s="20" t="str">
        <x:f>IF(A167="","",IF(AND(H167="Approved",M167&lt;TODAY()),"YES","NO"))</x:f>
      </x:c>
    </x:row>
    <x:row r="168">
      <x:c r="A168" s="20"/>
      <x:c r="B168" s="20"/>
      <x:c r="C168" s="20"/>
      <x:c r="D168" s="20"/>
      <x:c r="E168" s="20"/>
      <x:c r="F168" s="20"/>
      <x:c r="G168" s="20"/>
      <x:c r="H168" s="20"/>
      <x:c r="I168" s="20"/>
      <x:c r="J168" s="20"/>
      <x:c r="K168" s="23"/>
      <x:c r="L168" s="23"/>
      <x:c r="M168" s="23"/>
      <x:c r="N168" s="20"/>
      <x:c r="O168" s="23"/>
      <x:c r="P168" s="20"/>
      <x:c r="Q168" s="23"/>
      <x:c r="R168" s="20" t="str">
        <x:f>IF(A168="","",IF(AND(H168="Approved",M168&lt;TODAY()),"YES","NO"))</x:f>
      </x:c>
    </x:row>
    <x:row r="169">
      <x:c r="A169" s="20"/>
      <x:c r="B169" s="20"/>
      <x:c r="C169" s="20"/>
      <x:c r="D169" s="20"/>
      <x:c r="E169" s="20"/>
      <x:c r="F169" s="20"/>
      <x:c r="G169" s="20"/>
      <x:c r="H169" s="20"/>
      <x:c r="I169" s="20"/>
      <x:c r="J169" s="20"/>
      <x:c r="K169" s="23"/>
      <x:c r="L169" s="23"/>
      <x:c r="M169" s="23"/>
      <x:c r="N169" s="20"/>
      <x:c r="O169" s="23"/>
      <x:c r="P169" s="20"/>
      <x:c r="Q169" s="23"/>
      <x:c r="R169" s="20" t="str">
        <x:f>IF(A169="","",IF(AND(H169="Approved",M169&lt;TODAY()),"YES","NO"))</x:f>
      </x:c>
    </x:row>
    <x:row r="170">
      <x:c r="A170" s="20"/>
      <x:c r="B170" s="20"/>
      <x:c r="C170" s="20"/>
      <x:c r="D170" s="20"/>
      <x:c r="E170" s="20"/>
      <x:c r="F170" s="20"/>
      <x:c r="G170" s="20"/>
      <x:c r="H170" s="20"/>
      <x:c r="I170" s="20"/>
      <x:c r="J170" s="20"/>
      <x:c r="K170" s="23"/>
      <x:c r="L170" s="23"/>
      <x:c r="M170" s="23"/>
      <x:c r="N170" s="20"/>
      <x:c r="O170" s="23"/>
      <x:c r="P170" s="20"/>
      <x:c r="Q170" s="23"/>
      <x:c r="R170" s="20" t="str">
        <x:f>IF(A170="","",IF(AND(H170="Approved",M170&lt;TODAY()),"YES","NO"))</x:f>
      </x:c>
    </x:row>
    <x:row r="171">
      <x:c r="A171" s="20"/>
      <x:c r="B171" s="20"/>
      <x:c r="C171" s="20"/>
      <x:c r="D171" s="20"/>
      <x:c r="E171" s="20"/>
      <x:c r="F171" s="20"/>
      <x:c r="G171" s="20"/>
      <x:c r="H171" s="20"/>
      <x:c r="I171" s="20"/>
      <x:c r="J171" s="20"/>
      <x:c r="K171" s="23"/>
      <x:c r="L171" s="23"/>
      <x:c r="M171" s="23"/>
      <x:c r="N171" s="20"/>
      <x:c r="O171" s="23"/>
      <x:c r="P171" s="20"/>
      <x:c r="Q171" s="23"/>
      <x:c r="R171" s="20" t="str">
        <x:f>IF(A171="","",IF(AND(H171="Approved",M171&lt;TODAY()),"YES","NO"))</x:f>
      </x:c>
    </x:row>
    <x:row r="172">
      <x:c r="A172" s="20"/>
      <x:c r="B172" s="20"/>
      <x:c r="C172" s="20"/>
      <x:c r="D172" s="20"/>
      <x:c r="E172" s="20"/>
      <x:c r="F172" s="20"/>
      <x:c r="G172" s="20"/>
      <x:c r="H172" s="20"/>
      <x:c r="I172" s="20"/>
      <x:c r="J172" s="20"/>
      <x:c r="K172" s="23"/>
      <x:c r="L172" s="23"/>
      <x:c r="M172" s="23"/>
      <x:c r="N172" s="20"/>
      <x:c r="O172" s="23"/>
      <x:c r="P172" s="20"/>
      <x:c r="Q172" s="23"/>
      <x:c r="R172" s="20" t="str">
        <x:f>IF(A172="","",IF(AND(H172="Approved",M172&lt;TODAY()),"YES","NO"))</x:f>
      </x:c>
    </x:row>
    <x:row r="173">
      <x:c r="A173" s="20"/>
      <x:c r="B173" s="20"/>
      <x:c r="C173" s="20"/>
      <x:c r="D173" s="20"/>
      <x:c r="E173" s="20"/>
      <x:c r="F173" s="20"/>
      <x:c r="G173" s="20"/>
      <x:c r="H173" s="20"/>
      <x:c r="I173" s="20"/>
      <x:c r="J173" s="20"/>
      <x:c r="K173" s="23"/>
      <x:c r="L173" s="23"/>
      <x:c r="M173" s="23"/>
      <x:c r="N173" s="20"/>
      <x:c r="O173" s="23"/>
      <x:c r="P173" s="20"/>
      <x:c r="Q173" s="23"/>
      <x:c r="R173" s="20" t="str">
        <x:f>IF(A173="","",IF(AND(H173="Approved",M173&lt;TODAY()),"YES","NO"))</x:f>
      </x:c>
    </x:row>
    <x:row r="174">
      <x:c r="A174" s="20"/>
      <x:c r="B174" s="20"/>
      <x:c r="C174" s="20"/>
      <x:c r="D174" s="20"/>
      <x:c r="E174" s="20"/>
      <x:c r="F174" s="20"/>
      <x:c r="G174" s="20"/>
      <x:c r="H174" s="20"/>
      <x:c r="I174" s="20"/>
      <x:c r="J174" s="20"/>
      <x:c r="K174" s="23"/>
      <x:c r="L174" s="23"/>
      <x:c r="M174" s="23"/>
      <x:c r="N174" s="20"/>
      <x:c r="O174" s="23"/>
      <x:c r="P174" s="20"/>
      <x:c r="Q174" s="23"/>
      <x:c r="R174" s="20" t="str">
        <x:f>IF(A174="","",IF(AND(H174="Approved",M174&lt;TODAY()),"YES","NO"))</x:f>
      </x:c>
    </x:row>
    <x:row r="175">
      <x:c r="A175" s="20"/>
      <x:c r="B175" s="20"/>
      <x:c r="C175" s="20"/>
      <x:c r="D175" s="20"/>
      <x:c r="E175" s="20"/>
      <x:c r="F175" s="20"/>
      <x:c r="G175" s="20"/>
      <x:c r="H175" s="20"/>
      <x:c r="I175" s="20"/>
      <x:c r="J175" s="20"/>
      <x:c r="K175" s="23"/>
      <x:c r="L175" s="23"/>
      <x:c r="M175" s="23"/>
      <x:c r="N175" s="20"/>
      <x:c r="O175" s="23"/>
      <x:c r="P175" s="20"/>
      <x:c r="Q175" s="23"/>
      <x:c r="R175" s="20" t="str">
        <x:f>IF(A175="","",IF(AND(H175="Approved",M175&lt;TODAY()),"YES","NO"))</x:f>
      </x:c>
    </x:row>
    <x:row r="176">
      <x:c r="A176" s="20"/>
      <x:c r="B176" s="20"/>
      <x:c r="C176" s="20"/>
      <x:c r="D176" s="20"/>
      <x:c r="E176" s="20"/>
      <x:c r="F176" s="20"/>
      <x:c r="G176" s="20"/>
      <x:c r="H176" s="20"/>
      <x:c r="I176" s="20"/>
      <x:c r="J176" s="20"/>
      <x:c r="K176" s="23"/>
      <x:c r="L176" s="23"/>
      <x:c r="M176" s="23"/>
      <x:c r="N176" s="20"/>
      <x:c r="O176" s="23"/>
      <x:c r="P176" s="20"/>
      <x:c r="Q176" s="23"/>
      <x:c r="R176" s="20" t="str">
        <x:f>IF(A176="","",IF(AND(H176="Approved",M176&lt;TODAY()),"YES","NO"))</x:f>
      </x:c>
    </x:row>
    <x:row r="177">
      <x:c r="A177" s="20"/>
      <x:c r="B177" s="20"/>
      <x:c r="C177" s="20"/>
      <x:c r="D177" s="20"/>
      <x:c r="E177" s="20"/>
      <x:c r="F177" s="20"/>
      <x:c r="G177" s="20"/>
      <x:c r="H177" s="20"/>
      <x:c r="I177" s="20"/>
      <x:c r="J177" s="20"/>
      <x:c r="K177" s="23"/>
      <x:c r="L177" s="23"/>
      <x:c r="M177" s="23"/>
      <x:c r="N177" s="20"/>
      <x:c r="O177" s="23"/>
      <x:c r="P177" s="20"/>
      <x:c r="Q177" s="23"/>
      <x:c r="R177" s="20" t="str">
        <x:f>IF(A177="","",IF(AND(H177="Approved",M177&lt;TODAY()),"YES","NO"))</x:f>
      </x:c>
    </x:row>
    <x:row r="178">
      <x:c r="A178" s="20"/>
      <x:c r="B178" s="20"/>
      <x:c r="C178" s="20"/>
      <x:c r="D178" s="20"/>
      <x:c r="E178" s="20"/>
      <x:c r="F178" s="20"/>
      <x:c r="G178" s="20"/>
      <x:c r="H178" s="20"/>
      <x:c r="I178" s="20"/>
      <x:c r="J178" s="20"/>
      <x:c r="K178" s="23"/>
      <x:c r="L178" s="23"/>
      <x:c r="M178" s="23"/>
      <x:c r="N178" s="20"/>
      <x:c r="O178" s="23"/>
      <x:c r="P178" s="20"/>
      <x:c r="Q178" s="23"/>
      <x:c r="R178" s="20" t="str">
        <x:f>IF(A178="","",IF(AND(H178="Approved",M178&lt;TODAY()),"YES","NO"))</x:f>
      </x:c>
    </x:row>
    <x:row r="179">
      <x:c r="A179" s="20"/>
      <x:c r="B179" s="20"/>
      <x:c r="C179" s="20"/>
      <x:c r="D179" s="20"/>
      <x:c r="E179" s="20"/>
      <x:c r="F179" s="20"/>
      <x:c r="G179" s="20"/>
      <x:c r="H179" s="20"/>
      <x:c r="I179" s="20"/>
      <x:c r="J179" s="20"/>
      <x:c r="K179" s="23"/>
      <x:c r="L179" s="23"/>
      <x:c r="M179" s="23"/>
      <x:c r="N179" s="20"/>
      <x:c r="O179" s="23"/>
      <x:c r="P179" s="20"/>
      <x:c r="Q179" s="23"/>
      <x:c r="R179" s="20" t="str">
        <x:f>IF(A179="","",IF(AND(H179="Approved",M179&lt;TODAY()),"YES","NO"))</x:f>
      </x:c>
    </x:row>
    <x:row r="180">
      <x:c r="A180" s="20"/>
      <x:c r="B180" s="20"/>
      <x:c r="C180" s="20"/>
      <x:c r="D180" s="20"/>
      <x:c r="E180" s="20"/>
      <x:c r="F180" s="20"/>
      <x:c r="G180" s="20"/>
      <x:c r="H180" s="20"/>
      <x:c r="I180" s="20"/>
      <x:c r="J180" s="20"/>
      <x:c r="K180" s="23"/>
      <x:c r="L180" s="23"/>
      <x:c r="M180" s="23"/>
      <x:c r="N180" s="20"/>
      <x:c r="O180" s="23"/>
      <x:c r="P180" s="20"/>
      <x:c r="Q180" s="23"/>
      <x:c r="R180" s="20" t="str">
        <x:f>IF(A180="","",IF(AND(H180="Approved",M180&lt;TODAY()),"YES","NO"))</x:f>
      </x:c>
    </x:row>
    <x:row r="181">
      <x:c r="A181" s="20"/>
      <x:c r="B181" s="20"/>
      <x:c r="C181" s="20"/>
      <x:c r="D181" s="20"/>
      <x:c r="E181" s="20"/>
      <x:c r="F181" s="20"/>
      <x:c r="G181" s="20"/>
      <x:c r="H181" s="20"/>
      <x:c r="I181" s="20"/>
      <x:c r="J181" s="20"/>
      <x:c r="K181" s="23"/>
      <x:c r="L181" s="23"/>
      <x:c r="M181" s="23"/>
      <x:c r="N181" s="20"/>
      <x:c r="O181" s="23"/>
      <x:c r="P181" s="20"/>
      <x:c r="Q181" s="23"/>
      <x:c r="R181" s="20" t="str">
        <x:f>IF(A181="","",IF(AND(H181="Approved",M181&lt;TODAY()),"YES","NO"))</x:f>
      </x:c>
    </x:row>
    <x:row r="182">
      <x:c r="A182" s="20"/>
      <x:c r="B182" s="20"/>
      <x:c r="C182" s="20"/>
      <x:c r="D182" s="20"/>
      <x:c r="E182" s="20"/>
      <x:c r="F182" s="20"/>
      <x:c r="G182" s="20"/>
      <x:c r="H182" s="20"/>
      <x:c r="I182" s="20"/>
      <x:c r="J182" s="20"/>
      <x:c r="K182" s="23"/>
      <x:c r="L182" s="23"/>
      <x:c r="M182" s="23"/>
      <x:c r="N182" s="20"/>
      <x:c r="O182" s="23"/>
      <x:c r="P182" s="20"/>
      <x:c r="Q182" s="23"/>
      <x:c r="R182" s="20" t="str">
        <x:f>IF(A182="","",IF(AND(H182="Approved",M182&lt;TODAY()),"YES","NO"))</x:f>
      </x:c>
    </x:row>
    <x:row r="183">
      <x:c r="A183" s="20"/>
      <x:c r="B183" s="20"/>
      <x:c r="C183" s="20"/>
      <x:c r="D183" s="20"/>
      <x:c r="E183" s="20"/>
      <x:c r="F183" s="20"/>
      <x:c r="G183" s="20"/>
      <x:c r="H183" s="20"/>
      <x:c r="I183" s="20"/>
      <x:c r="J183" s="20"/>
      <x:c r="K183" s="23"/>
      <x:c r="L183" s="23"/>
      <x:c r="M183" s="23"/>
      <x:c r="N183" s="20"/>
      <x:c r="O183" s="23"/>
      <x:c r="P183" s="20"/>
      <x:c r="Q183" s="23"/>
      <x:c r="R183" s="20" t="str">
        <x:f>IF(A183="","",IF(AND(H183="Approved",M183&lt;TODAY()),"YES","NO"))</x:f>
      </x:c>
    </x:row>
    <x:row r="184">
      <x:c r="A184" s="20"/>
      <x:c r="B184" s="20"/>
      <x:c r="C184" s="20"/>
      <x:c r="D184" s="20"/>
      <x:c r="E184" s="20"/>
      <x:c r="F184" s="20"/>
      <x:c r="G184" s="20"/>
      <x:c r="H184" s="20"/>
      <x:c r="I184" s="20"/>
      <x:c r="J184" s="20"/>
      <x:c r="K184" s="23"/>
      <x:c r="L184" s="23"/>
      <x:c r="M184" s="23"/>
      <x:c r="N184" s="20"/>
      <x:c r="O184" s="23"/>
      <x:c r="P184" s="20"/>
      <x:c r="Q184" s="23"/>
      <x:c r="R184" s="20" t="str">
        <x:f>IF(A184="","",IF(AND(H184="Approved",M184&lt;TODAY()),"YES","NO"))</x:f>
      </x:c>
    </x:row>
    <x:row r="185">
      <x:c r="A185" s="20"/>
      <x:c r="B185" s="20"/>
      <x:c r="C185" s="20"/>
      <x:c r="D185" s="20"/>
      <x:c r="E185" s="20"/>
      <x:c r="F185" s="20"/>
      <x:c r="G185" s="20"/>
      <x:c r="H185" s="20"/>
      <x:c r="I185" s="20"/>
      <x:c r="J185" s="20"/>
      <x:c r="K185" s="23"/>
      <x:c r="L185" s="23"/>
      <x:c r="M185" s="23"/>
      <x:c r="N185" s="20"/>
      <x:c r="O185" s="23"/>
      <x:c r="P185" s="20"/>
      <x:c r="Q185" s="23"/>
      <x:c r="R185" s="20" t="str">
        <x:f>IF(A185="","",IF(AND(H185="Approved",M185&lt;TODAY()),"YES","NO"))</x:f>
      </x:c>
    </x:row>
    <x:row r="186">
      <x:c r="A186" s="20"/>
      <x:c r="B186" s="20"/>
      <x:c r="C186" s="20"/>
      <x:c r="D186" s="20"/>
      <x:c r="E186" s="20"/>
      <x:c r="F186" s="20"/>
      <x:c r="G186" s="20"/>
      <x:c r="H186" s="20"/>
      <x:c r="I186" s="20"/>
      <x:c r="J186" s="20"/>
      <x:c r="K186" s="23"/>
      <x:c r="L186" s="23"/>
      <x:c r="M186" s="23"/>
      <x:c r="N186" s="20"/>
      <x:c r="O186" s="23"/>
      <x:c r="P186" s="20"/>
      <x:c r="Q186" s="23"/>
      <x:c r="R186" s="20" t="str">
        <x:f>IF(A186="","",IF(AND(H186="Approved",M186&lt;TODAY()),"YES","NO"))</x:f>
      </x:c>
    </x:row>
    <x:row r="187">
      <x:c r="A187" s="20"/>
      <x:c r="B187" s="20"/>
      <x:c r="C187" s="20"/>
      <x:c r="D187" s="20"/>
      <x:c r="E187" s="20"/>
      <x:c r="F187" s="20"/>
      <x:c r="G187" s="20"/>
      <x:c r="H187" s="20"/>
      <x:c r="I187" s="20"/>
      <x:c r="J187" s="20"/>
      <x:c r="K187" s="23"/>
      <x:c r="L187" s="23"/>
      <x:c r="M187" s="23"/>
      <x:c r="N187" s="20"/>
      <x:c r="O187" s="23"/>
      <x:c r="P187" s="20"/>
      <x:c r="Q187" s="23"/>
      <x:c r="R187" s="20" t="str">
        <x:f>IF(A187="","",IF(AND(H187="Approved",M187&lt;TODAY()),"YES","NO"))</x:f>
      </x:c>
    </x:row>
    <x:row r="188">
      <x:c r="A188" s="20"/>
      <x:c r="B188" s="20"/>
      <x:c r="C188" s="20"/>
      <x:c r="D188" s="20"/>
      <x:c r="E188" s="20"/>
      <x:c r="F188" s="20"/>
      <x:c r="G188" s="20"/>
      <x:c r="H188" s="20"/>
      <x:c r="I188" s="20"/>
      <x:c r="J188" s="20"/>
      <x:c r="K188" s="23"/>
      <x:c r="L188" s="23"/>
      <x:c r="M188" s="23"/>
      <x:c r="N188" s="20"/>
      <x:c r="O188" s="23"/>
      <x:c r="P188" s="20"/>
      <x:c r="Q188" s="23"/>
      <x:c r="R188" s="20" t="str">
        <x:f>IF(A188="","",IF(AND(H188="Approved",M188&lt;TODAY()),"YES","NO"))</x:f>
      </x:c>
    </x:row>
    <x:row r="189">
      <x:c r="A189" s="20"/>
      <x:c r="B189" s="20"/>
      <x:c r="C189" s="20"/>
      <x:c r="D189" s="20"/>
      <x:c r="E189" s="20"/>
      <x:c r="F189" s="20"/>
      <x:c r="G189" s="20"/>
      <x:c r="H189" s="20"/>
      <x:c r="I189" s="20"/>
      <x:c r="J189" s="20"/>
      <x:c r="K189" s="23"/>
      <x:c r="L189" s="23"/>
      <x:c r="M189" s="23"/>
      <x:c r="N189" s="20"/>
      <x:c r="O189" s="23"/>
      <x:c r="P189" s="20"/>
      <x:c r="Q189" s="23"/>
      <x:c r="R189" s="20" t="str">
        <x:f>IF(A189="","",IF(AND(H189="Approved",M189&lt;TODAY()),"YES","NO"))</x:f>
      </x:c>
    </x:row>
    <x:row r="190">
      <x:c r="A190" s="20"/>
      <x:c r="B190" s="20"/>
      <x:c r="C190" s="20"/>
      <x:c r="D190" s="20"/>
      <x:c r="E190" s="20"/>
      <x:c r="F190" s="20"/>
      <x:c r="G190" s="20"/>
      <x:c r="H190" s="20"/>
      <x:c r="I190" s="20"/>
      <x:c r="J190" s="20"/>
      <x:c r="K190" s="23"/>
      <x:c r="L190" s="23"/>
      <x:c r="M190" s="23"/>
      <x:c r="N190" s="20"/>
      <x:c r="O190" s="23"/>
      <x:c r="P190" s="20"/>
      <x:c r="Q190" s="23"/>
      <x:c r="R190" s="20" t="str">
        <x:f>IF(A190="","",IF(AND(H190="Approved",M190&lt;TODAY()),"YES","NO"))</x:f>
      </x:c>
    </x:row>
    <x:row r="191">
      <x:c r="A191" s="20"/>
      <x:c r="B191" s="20"/>
      <x:c r="C191" s="20"/>
      <x:c r="D191" s="20"/>
      <x:c r="E191" s="20"/>
      <x:c r="F191" s="20"/>
      <x:c r="G191" s="20"/>
      <x:c r="H191" s="20"/>
      <x:c r="I191" s="20"/>
      <x:c r="J191" s="20"/>
      <x:c r="K191" s="23"/>
      <x:c r="L191" s="23"/>
      <x:c r="M191" s="23"/>
      <x:c r="N191" s="20"/>
      <x:c r="O191" s="23"/>
      <x:c r="P191" s="20"/>
      <x:c r="Q191" s="23"/>
      <x:c r="R191" s="20" t="str">
        <x:f>IF(A191="","",IF(AND(H191="Approved",M191&lt;TODAY()),"YES","NO"))</x:f>
      </x:c>
    </x:row>
    <x:row r="192">
      <x:c r="A192" s="20"/>
      <x:c r="B192" s="20"/>
      <x:c r="C192" s="20"/>
      <x:c r="D192" s="20"/>
      <x:c r="E192" s="20"/>
      <x:c r="F192" s="20"/>
      <x:c r="G192" s="20"/>
      <x:c r="H192" s="20"/>
      <x:c r="I192" s="20"/>
      <x:c r="J192" s="20"/>
      <x:c r="K192" s="23"/>
      <x:c r="L192" s="23"/>
      <x:c r="M192" s="23"/>
      <x:c r="N192" s="20"/>
      <x:c r="O192" s="23"/>
      <x:c r="P192" s="20"/>
      <x:c r="Q192" s="23"/>
      <x:c r="R192" s="20" t="str">
        <x:f>IF(A192="","",IF(AND(H192="Approved",M192&lt;TODAY()),"YES","NO"))</x:f>
      </x:c>
    </x:row>
    <x:row r="193">
      <x:c r="A193" s="20"/>
      <x:c r="B193" s="20"/>
      <x:c r="C193" s="20"/>
      <x:c r="D193" s="20"/>
      <x:c r="E193" s="20"/>
      <x:c r="F193" s="20"/>
      <x:c r="G193" s="20"/>
      <x:c r="H193" s="20"/>
      <x:c r="I193" s="20"/>
      <x:c r="J193" s="20"/>
      <x:c r="K193" s="23"/>
      <x:c r="L193" s="23"/>
      <x:c r="M193" s="23"/>
      <x:c r="N193" s="20"/>
      <x:c r="O193" s="23"/>
      <x:c r="P193" s="20"/>
      <x:c r="Q193" s="23"/>
      <x:c r="R193" s="20" t="str">
        <x:f>IF(A193="","",IF(AND(H193="Approved",M193&lt;TODAY()),"YES","NO"))</x:f>
      </x:c>
    </x:row>
    <x:row r="194">
      <x:c r="A194" s="20"/>
      <x:c r="B194" s="20"/>
      <x:c r="C194" s="20"/>
      <x:c r="D194" s="20"/>
      <x:c r="E194" s="20"/>
      <x:c r="F194" s="20"/>
      <x:c r="G194" s="20"/>
      <x:c r="H194" s="20"/>
      <x:c r="I194" s="20"/>
      <x:c r="J194" s="20"/>
      <x:c r="K194" s="23"/>
      <x:c r="L194" s="23"/>
      <x:c r="M194" s="23"/>
      <x:c r="N194" s="20"/>
      <x:c r="O194" s="23"/>
      <x:c r="P194" s="20"/>
      <x:c r="Q194" s="23"/>
      <x:c r="R194" s="20" t="str">
        <x:f>IF(A194="","",IF(AND(H194="Approved",M194&lt;TODAY()),"YES","NO"))</x:f>
      </x:c>
    </x:row>
    <x:row r="195">
      <x:c r="A195" s="20"/>
      <x:c r="B195" s="20"/>
      <x:c r="C195" s="20"/>
      <x:c r="D195" s="20"/>
      <x:c r="E195" s="20"/>
      <x:c r="F195" s="20"/>
      <x:c r="G195" s="20"/>
      <x:c r="H195" s="20"/>
      <x:c r="I195" s="20"/>
      <x:c r="J195" s="20"/>
      <x:c r="K195" s="23"/>
      <x:c r="L195" s="23"/>
      <x:c r="M195" s="23"/>
      <x:c r="N195" s="20"/>
      <x:c r="O195" s="23"/>
      <x:c r="P195" s="20"/>
      <x:c r="Q195" s="23"/>
      <x:c r="R195" s="20" t="str">
        <x:f>IF(A195="","",IF(AND(H195="Approved",M195&lt;TODAY()),"YES","NO"))</x:f>
      </x:c>
    </x:row>
    <x:row r="196">
      <x:c r="A196" s="20"/>
      <x:c r="B196" s="20"/>
      <x:c r="C196" s="20"/>
      <x:c r="D196" s="20"/>
      <x:c r="E196" s="20"/>
      <x:c r="F196" s="20"/>
      <x:c r="G196" s="20"/>
      <x:c r="H196" s="20"/>
      <x:c r="I196" s="20"/>
      <x:c r="J196" s="20"/>
      <x:c r="K196" s="23"/>
      <x:c r="L196" s="23"/>
      <x:c r="M196" s="23"/>
      <x:c r="N196" s="20"/>
      <x:c r="O196" s="23"/>
      <x:c r="P196" s="20"/>
      <x:c r="Q196" s="23"/>
      <x:c r="R196" s="20" t="str">
        <x:f>IF(A196="","",IF(AND(H196="Approved",M196&lt;TODAY()),"YES","NO"))</x:f>
      </x:c>
    </x:row>
    <x:row r="197">
      <x:c r="A197" s="20"/>
      <x:c r="B197" s="20"/>
      <x:c r="C197" s="20"/>
      <x:c r="D197" s="20"/>
      <x:c r="E197" s="20"/>
      <x:c r="F197" s="20"/>
      <x:c r="G197" s="20"/>
      <x:c r="H197" s="20"/>
      <x:c r="I197" s="20"/>
      <x:c r="J197" s="20"/>
      <x:c r="K197" s="23"/>
      <x:c r="L197" s="23"/>
      <x:c r="M197" s="23"/>
      <x:c r="N197" s="20"/>
      <x:c r="O197" s="23"/>
      <x:c r="P197" s="20"/>
      <x:c r="Q197" s="23"/>
      <x:c r="R197" s="20" t="str">
        <x:f>IF(A197="","",IF(AND(H197="Approved",M197&lt;TODAY()),"YES","NO"))</x:f>
      </x:c>
    </x:row>
    <x:row r="198">
      <x:c r="A198" s="20"/>
      <x:c r="B198" s="20"/>
      <x:c r="C198" s="20"/>
      <x:c r="D198" s="20"/>
      <x:c r="E198" s="20"/>
      <x:c r="F198" s="20"/>
      <x:c r="G198" s="20"/>
      <x:c r="H198" s="20"/>
      <x:c r="I198" s="20"/>
      <x:c r="J198" s="20"/>
      <x:c r="K198" s="23"/>
      <x:c r="L198" s="23"/>
      <x:c r="M198" s="23"/>
      <x:c r="N198" s="20"/>
      <x:c r="O198" s="23"/>
      <x:c r="P198" s="20"/>
      <x:c r="Q198" s="23"/>
      <x:c r="R198" s="20" t="str">
        <x:f>IF(A198="","",IF(AND(H198="Approved",M198&lt;TODAY()),"YES","NO"))</x:f>
      </x:c>
    </x:row>
    <x:row r="199">
      <x:c r="A199" s="20"/>
      <x:c r="B199" s="20"/>
      <x:c r="C199" s="20"/>
      <x:c r="D199" s="20"/>
      <x:c r="E199" s="20"/>
      <x:c r="F199" s="20"/>
      <x:c r="G199" s="20"/>
      <x:c r="H199" s="20"/>
      <x:c r="I199" s="20"/>
      <x:c r="J199" s="20"/>
      <x:c r="K199" s="23"/>
      <x:c r="L199" s="23"/>
      <x:c r="M199" s="23"/>
      <x:c r="N199" s="20"/>
      <x:c r="O199" s="23"/>
      <x:c r="P199" s="20"/>
      <x:c r="Q199" s="23"/>
      <x:c r="R199" s="20" t="str">
        <x:f>IF(A199="","",IF(AND(H199="Approved",M199&lt;TODAY()),"YES","NO"))</x:f>
      </x:c>
    </x:row>
    <x:row r="200">
      <x:c r="A200" s="20"/>
      <x:c r="B200" s="20"/>
      <x:c r="C200" s="20"/>
      <x:c r="D200" s="20"/>
      <x:c r="E200" s="20"/>
      <x:c r="F200" s="20"/>
      <x:c r="G200" s="20"/>
      <x:c r="H200" s="20"/>
      <x:c r="I200" s="20"/>
      <x:c r="J200" s="20"/>
      <x:c r="K200" s="23"/>
      <x:c r="L200" s="23"/>
      <x:c r="M200" s="23"/>
      <x:c r="N200" s="20"/>
      <x:c r="O200" s="23"/>
      <x:c r="P200" s="20"/>
      <x:c r="Q200" s="23"/>
      <x:c r="R200" s="20" t="str">
        <x:f>IF(A200="","",IF(AND(H200="Approved",M200&lt;TODAY()),"YES","NO"))</x:f>
      </x:c>
    </x:row>
    <x:row r="201">
      <x:c r="A201" s="20"/>
      <x:c r="B201" s="20"/>
      <x:c r="C201" s="20"/>
      <x:c r="D201" s="20"/>
      <x:c r="E201" s="20"/>
      <x:c r="F201" s="20"/>
      <x:c r="G201" s="20"/>
      <x:c r="H201" s="20"/>
      <x:c r="I201" s="20"/>
      <x:c r="J201" s="20"/>
      <x:c r="K201" s="23"/>
      <x:c r="L201" s="23"/>
      <x:c r="M201" s="23"/>
      <x:c r="N201" s="20"/>
      <x:c r="O201" s="23"/>
      <x:c r="P201" s="20"/>
      <x:c r="Q201" s="23"/>
      <x:c r="R201" s="20" t="str">
        <x:f>IF(A201="","",IF(AND(H201="Approved",M201&lt;TODAY()),"YES","NO"))</x:f>
      </x:c>
    </x:row>
    <x:row r="202">
      <x:c r="A202" s="20"/>
      <x:c r="B202" s="20"/>
      <x:c r="C202" s="20"/>
      <x:c r="D202" s="20"/>
      <x:c r="E202" s="20"/>
      <x:c r="F202" s="20"/>
      <x:c r="G202" s="20"/>
      <x:c r="H202" s="20"/>
      <x:c r="I202" s="20"/>
      <x:c r="J202" s="20"/>
      <x:c r="K202" s="23"/>
      <x:c r="L202" s="23"/>
      <x:c r="M202" s="23"/>
      <x:c r="N202" s="20"/>
      <x:c r="O202" s="23"/>
      <x:c r="P202" s="20"/>
      <x:c r="Q202" s="23"/>
      <x:c r="R202" s="20" t="str">
        <x:f>IF(A202="","",IF(AND(H202="Approved",M202&lt;TODAY()),"YES","NO"))</x:f>
      </x:c>
    </x:row>
    <x:row r="203">
      <x:c r="A203" s="20"/>
      <x:c r="B203" s="20"/>
      <x:c r="C203" s="20"/>
      <x:c r="D203" s="20"/>
      <x:c r="E203" s="20"/>
      <x:c r="F203" s="20"/>
      <x:c r="G203" s="20"/>
      <x:c r="H203" s="20"/>
      <x:c r="I203" s="20"/>
      <x:c r="J203" s="20"/>
      <x:c r="K203" s="23"/>
      <x:c r="L203" s="23"/>
      <x:c r="M203" s="23"/>
      <x:c r="N203" s="20"/>
      <x:c r="O203" s="23"/>
      <x:c r="P203" s="20"/>
      <x:c r="Q203" s="23"/>
      <x:c r="R203" s="20" t="str">
        <x:f>IF(A203="","",IF(AND(H203="Approved",M203&lt;TODAY()),"YES","NO"))</x:f>
      </x:c>
    </x:row>
    <x:row r="204">
      <x:c r="A204" s="21"/>
      <x:c r="B204" s="21"/>
      <x:c r="C204" s="21"/>
      <x:c r="D204" s="21"/>
      <x:c r="E204" s="21"/>
      <x:c r="F204" s="21"/>
      <x:c r="G204" s="21"/>
      <x:c r="H204" s="21"/>
      <x:c r="I204" s="21"/>
      <x:c r="J204" s="21"/>
      <x:c r="K204" s="24"/>
      <x:c r="L204" s="24"/>
      <x:c r="M204" s="24"/>
      <x:c r="N204" s="21"/>
      <x:c r="O204" s="24"/>
      <x:c r="P204" s="21"/>
      <x:c r="Q204" s="24"/>
      <x:c r="R204" s="21" t="str">
        <x:f>IF(A204="","",IF(AND(H204="Approved",M204&lt;TODAY()),"YES","NO"))</x:f>
      </x:c>
    </x:row>
  </x:sheetData>
  <x:mergeCells>
    <x:mergeCell ref="A1:R1"/>
    <x:mergeCell ref="A2:R2"/>
  </x:mergeCells>
  <x:conditionalFormatting sqref="A5:R204">
    <x:cfRule type="expression" dxfId="21" priority="1">
      <x:formula>OR($H5="Open",$H5="Blocked",$H5="Failed",$H5="Rejected",$H5="Not Authorised")</x:formula>
    </x:cfRule>
    <x:cfRule type="expression" dxfId="22" priority="2">
      <x:formula>OR($H5="Approved",$H5="Passed",$H5="Closed",$H5="Authorised")</x:formula>
    </x:cfRule>
    <x:cfRule type="expression" dxfId="23" priority="3">
      <x:formula>OR($H5="Pending",$H5="In Progress",$H5="Investigating",$H5="Conditional")</x:formula>
    </x:cfRule>
  </x:conditionalFormatting>
  <x:dataValidations count="1">
    <x:dataValidation type="list" sqref="H5:H204">
      <x:formula1>"Requested,Under Review,Approved,Rejected,Closed,Revoked,Expired"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b24e093a45a4487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4" hidden="0" customWidth="1"/>
    <x:col min="5" max="5" width="12" hidden="0" customWidth="1"/>
    <x:col min="6" max="6" width="16" hidden="0" customWidth="1"/>
    <x:col min="7" max="7" width="28" hidden="0" customWidth="1"/>
    <x:col min="8" max="8" width="18" hidden="0" customWidth="1"/>
    <x:col min="9" max="9" width="18" hidden="0" customWidth="1"/>
    <x:col min="10" max="10" width="18" hidden="0" customWidth="1"/>
    <x:col min="11" max="11" width="20" hidden="0" customWidth="1"/>
    <x:col min="12" max="12" width="34" hidden="0" customWidth="1"/>
    <x:col min="13" max="13" width="34" hidden="0" customWidth="1"/>
    <x:col min="14" max="14" width="34" hidden="0" customWidth="1"/>
    <x:col min="15" max="15" width="18" hidden="0" customWidth="1"/>
    <x:col min="16" max="16" width="18" hidden="0" customWidth="1"/>
    <x:col min="17" max="17" width="14" hidden="0" customWidth="1"/>
    <x:col min="18" max="18" width="16" hidden="0" customWidth="1"/>
    <x:col min="19" max="19" width="14" hidden="0" customWidth="1"/>
    <x:col min="20" max="20" width="22" hidden="0" customWidth="1"/>
    <x:col min="21" max="21" width="22" hidden="0" customWidth="1"/>
    <x:col min="22" max="22" width="18" hidden="0" customWidth="1"/>
    <x:col min="23" max="23" width="14" hidden="0" customWidth="1"/>
    <x:col min="24" max="24" width="14" hidden="0" customWidth="1"/>
  </x:cols>
  <x:sheetData>
    <x:row r="1" ht="34" customHeight="1">
      <x:c r="A1" s="3" t="str">
        <x:v>INCIDENTS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</x:row>
    <x:row r="2" ht="28" customHeight="1">
      <x:c r="A2" s="7" t="str">
        <x:v>Production and rehearsal incidents, from detection through recovery, review and corrective action.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  <x:c r="R2" s="7"/>
      <x:c r="S2" s="7"/>
      <x:c r="T2" s="7"/>
      <x:c r="U2" s="7"/>
      <x:c r="V2" s="7"/>
      <x:c r="W2" s="7"/>
      <x:c r="X2" s="7"/>
    </x:row>
    <x:row r="4" ht="32" customHeight="1">
      <x:c r="A4" s="12" t="str">
        <x:v>Incident ID*</x:v>
      </x:c>
      <x:c r="B4" s="12" t="str">
        <x:v>Candidate ID</x:v>
      </x:c>
      <x:c r="C4" s="12" t="str">
        <x:v>Event ID</x:v>
      </x:c>
      <x:c r="D4" s="12" t="str">
        <x:v>Environment*</x:v>
      </x:c>
      <x:c r="E4" s="12" t="str">
        <x:v>Severity*</x:v>
      </x:c>
      <x:c r="F4" s="12" t="str">
        <x:v>Status*</x:v>
      </x:c>
      <x:c r="G4" s="12" t="str">
        <x:v>Title*</x:v>
      </x:c>
      <x:c r="H4" s="12" t="str">
        <x:v>Detected At*</x:v>
      </x:c>
      <x:c r="I4" s="12" t="str">
        <x:v>Reported By*</x:v>
      </x:c>
      <x:c r="J4" s="12" t="str">
        <x:v>Incident Commander*</x:v>
      </x:c>
      <x:c r="K4" s="12" t="str">
        <x:v>Affected Capability*</x:v>
      </x:c>
      <x:c r="L4" s="12" t="str">
        <x:v>Guest / Business Impact*</x:v>
      </x:c>
      <x:c r="M4" s="12" t="str">
        <x:v>Containment</x:v>
      </x:c>
      <x:c r="N4" s="12" t="str">
        <x:v>Root Cause</x:v>
      </x:c>
      <x:c r="O4" s="12" t="str">
        <x:v>Recovery At</x:v>
      </x:c>
      <x:c r="P4" s="12" t="str">
        <x:v>Communications Owner</x:v>
      </x:c>
      <x:c r="Q4" s="12" t="str">
        <x:v>Client Notified?</x:v>
      </x:c>
      <x:c r="R4" s="12" t="str">
        <x:v>Regulator Review?</x:v>
      </x:c>
      <x:c r="S4" s="12" t="str">
        <x:v>Post-Incident Review Date</x:v>
      </x:c>
      <x:c r="T4" s="12" t="str">
        <x:v>Corrective Change IDs</x:v>
      </x:c>
      <x:c r="U4" s="12" t="str">
        <x:v>Evidence IDs</x:v>
      </x:c>
      <x:c r="V4" s="12" t="str">
        <x:v>Closed At</x:v>
      </x:c>
      <x:c r="W4" s="12" t="str">
        <x:v>Last Updated*</x:v>
      </x:c>
      <x:c r="X4" s="12" t="str">
        <x:v>Duration (hours)</x:v>
      </x:c>
    </x:row>
    <x:row r="5">
      <x:c r="A5" s="19"/>
      <x:c r="B5" s="19"/>
      <x:c r="C5" s="19"/>
      <x:c r="D5" s="19"/>
      <x:c r="E5" s="19"/>
      <x:c r="F5" s="19"/>
      <x:c r="G5" s="19"/>
      <x:c r="H5" s="22"/>
      <x:c r="I5" s="19"/>
      <x:c r="J5" s="19"/>
      <x:c r="K5" s="19"/>
      <x:c r="L5" s="19"/>
      <x:c r="M5" s="19"/>
      <x:c r="N5" s="19"/>
      <x:c r="O5" s="22"/>
      <x:c r="P5" s="19"/>
      <x:c r="Q5" s="19"/>
      <x:c r="R5" s="19"/>
      <x:c r="S5" s="22"/>
      <x:c r="T5" s="19"/>
      <x:c r="U5" s="19"/>
      <x:c r="V5" s="22"/>
      <x:c r="W5" s="22"/>
      <x:c r="X5" s="25" t="str">
        <x:f>IF(A5="","",IF(O5&lt;&gt;"",(O5-H5)*24,(NOW()-H5)*24))</x:f>
      </x:c>
    </x:row>
    <x:row r="6">
      <x:c r="A6" s="20"/>
      <x:c r="B6" s="20"/>
      <x:c r="C6" s="20"/>
      <x:c r="D6" s="20"/>
      <x:c r="E6" s="20"/>
      <x:c r="F6" s="20"/>
      <x:c r="G6" s="20"/>
      <x:c r="H6" s="23"/>
      <x:c r="I6" s="20"/>
      <x:c r="J6" s="20"/>
      <x:c r="K6" s="20"/>
      <x:c r="L6" s="20"/>
      <x:c r="M6" s="20"/>
      <x:c r="N6" s="20"/>
      <x:c r="O6" s="23"/>
      <x:c r="P6" s="20"/>
      <x:c r="Q6" s="20"/>
      <x:c r="R6" s="20"/>
      <x:c r="S6" s="23"/>
      <x:c r="T6" s="20"/>
      <x:c r="U6" s="20"/>
      <x:c r="V6" s="23"/>
      <x:c r="W6" s="23"/>
      <x:c r="X6" s="26" t="str">
        <x:f>IF(A6="","",IF(O6&lt;&gt;"",(O6-H6)*24,(NOW()-H6)*24))</x:f>
      </x:c>
    </x:row>
    <x:row r="7">
      <x:c r="A7" s="20"/>
      <x:c r="B7" s="20"/>
      <x:c r="C7" s="20"/>
      <x:c r="D7" s="20"/>
      <x:c r="E7" s="20"/>
      <x:c r="F7" s="20"/>
      <x:c r="G7" s="20"/>
      <x:c r="H7" s="23"/>
      <x:c r="I7" s="20"/>
      <x:c r="J7" s="20"/>
      <x:c r="K7" s="20"/>
      <x:c r="L7" s="20"/>
      <x:c r="M7" s="20"/>
      <x:c r="N7" s="20"/>
      <x:c r="O7" s="23"/>
      <x:c r="P7" s="20"/>
      <x:c r="Q7" s="20"/>
      <x:c r="R7" s="20"/>
      <x:c r="S7" s="23"/>
      <x:c r="T7" s="20"/>
      <x:c r="U7" s="20"/>
      <x:c r="V7" s="23"/>
      <x:c r="W7" s="23"/>
      <x:c r="X7" s="26" t="str">
        <x:f>IF(A7="","",IF(O7&lt;&gt;"",(O7-H7)*24,(NOW()-H7)*24))</x:f>
      </x:c>
    </x:row>
    <x:row r="8">
      <x:c r="A8" s="20"/>
      <x:c r="B8" s="20"/>
      <x:c r="C8" s="20"/>
      <x:c r="D8" s="20"/>
      <x:c r="E8" s="20"/>
      <x:c r="F8" s="20"/>
      <x:c r="G8" s="20"/>
      <x:c r="H8" s="23"/>
      <x:c r="I8" s="20"/>
      <x:c r="J8" s="20"/>
      <x:c r="K8" s="20"/>
      <x:c r="L8" s="20"/>
      <x:c r="M8" s="20"/>
      <x:c r="N8" s="20"/>
      <x:c r="O8" s="23"/>
      <x:c r="P8" s="20"/>
      <x:c r="Q8" s="20"/>
      <x:c r="R8" s="20"/>
      <x:c r="S8" s="23"/>
      <x:c r="T8" s="20"/>
      <x:c r="U8" s="20"/>
      <x:c r="V8" s="23"/>
      <x:c r="W8" s="23"/>
      <x:c r="X8" s="26" t="str">
        <x:f>IF(A8="","",IF(O8&lt;&gt;"",(O8-H8)*24,(NOW()-H8)*24))</x:f>
      </x:c>
    </x:row>
    <x:row r="9">
      <x:c r="A9" s="20"/>
      <x:c r="B9" s="20"/>
      <x:c r="C9" s="20"/>
      <x:c r="D9" s="20"/>
      <x:c r="E9" s="20"/>
      <x:c r="F9" s="20"/>
      <x:c r="G9" s="20"/>
      <x:c r="H9" s="23"/>
      <x:c r="I9" s="20"/>
      <x:c r="J9" s="20"/>
      <x:c r="K9" s="20"/>
      <x:c r="L9" s="20"/>
      <x:c r="M9" s="20"/>
      <x:c r="N9" s="20"/>
      <x:c r="O9" s="23"/>
      <x:c r="P9" s="20"/>
      <x:c r="Q9" s="20"/>
      <x:c r="R9" s="20"/>
      <x:c r="S9" s="23"/>
      <x:c r="T9" s="20"/>
      <x:c r="U9" s="20"/>
      <x:c r="V9" s="23"/>
      <x:c r="W9" s="23"/>
      <x:c r="X9" s="26" t="str">
        <x:f>IF(A9="","",IF(O9&lt;&gt;"",(O9-H9)*24,(NOW()-H9)*24))</x:f>
      </x:c>
    </x:row>
    <x:row r="10">
      <x:c r="A10" s="20"/>
      <x:c r="B10" s="20"/>
      <x:c r="C10" s="20"/>
      <x:c r="D10" s="20"/>
      <x:c r="E10" s="20"/>
      <x:c r="F10" s="20"/>
      <x:c r="G10" s="20"/>
      <x:c r="H10" s="23"/>
      <x:c r="I10" s="20"/>
      <x:c r="J10" s="20"/>
      <x:c r="K10" s="20"/>
      <x:c r="L10" s="20"/>
      <x:c r="M10" s="20"/>
      <x:c r="N10" s="20"/>
      <x:c r="O10" s="23"/>
      <x:c r="P10" s="20"/>
      <x:c r="Q10" s="20"/>
      <x:c r="R10" s="20"/>
      <x:c r="S10" s="23"/>
      <x:c r="T10" s="20"/>
      <x:c r="U10" s="20"/>
      <x:c r="V10" s="23"/>
      <x:c r="W10" s="23"/>
      <x:c r="X10" s="26" t="str">
        <x:f>IF(A10="","",IF(O10&lt;&gt;"",(O10-H10)*24,(NOW()-H10)*24))</x:f>
      </x:c>
    </x:row>
    <x:row r="11">
      <x:c r="A11" s="20"/>
      <x:c r="B11" s="20"/>
      <x:c r="C11" s="20"/>
      <x:c r="D11" s="20"/>
      <x:c r="E11" s="20"/>
      <x:c r="F11" s="20"/>
      <x:c r="G11" s="20"/>
      <x:c r="H11" s="23"/>
      <x:c r="I11" s="20"/>
      <x:c r="J11" s="20"/>
      <x:c r="K11" s="20"/>
      <x:c r="L11" s="20"/>
      <x:c r="M11" s="20"/>
      <x:c r="N11" s="20"/>
      <x:c r="O11" s="23"/>
      <x:c r="P11" s="20"/>
      <x:c r="Q11" s="20"/>
      <x:c r="R11" s="20"/>
      <x:c r="S11" s="23"/>
      <x:c r="T11" s="20"/>
      <x:c r="U11" s="20"/>
      <x:c r="V11" s="23"/>
      <x:c r="W11" s="23"/>
      <x:c r="X11" s="26" t="str">
        <x:f>IF(A11="","",IF(O11&lt;&gt;"",(O11-H11)*24,(NOW()-H11)*24))</x:f>
      </x:c>
    </x:row>
    <x:row r="12">
      <x:c r="A12" s="20"/>
      <x:c r="B12" s="20"/>
      <x:c r="C12" s="20"/>
      <x:c r="D12" s="20"/>
      <x:c r="E12" s="20"/>
      <x:c r="F12" s="20"/>
      <x:c r="G12" s="20"/>
      <x:c r="H12" s="23"/>
      <x:c r="I12" s="20"/>
      <x:c r="J12" s="20"/>
      <x:c r="K12" s="20"/>
      <x:c r="L12" s="20"/>
      <x:c r="M12" s="20"/>
      <x:c r="N12" s="20"/>
      <x:c r="O12" s="23"/>
      <x:c r="P12" s="20"/>
      <x:c r="Q12" s="20"/>
      <x:c r="R12" s="20"/>
      <x:c r="S12" s="23"/>
      <x:c r="T12" s="20"/>
      <x:c r="U12" s="20"/>
      <x:c r="V12" s="23"/>
      <x:c r="W12" s="23"/>
      <x:c r="X12" s="26" t="str">
        <x:f>IF(A12="","",IF(O12&lt;&gt;"",(O12-H12)*24,(NOW()-H12)*24))</x:f>
      </x:c>
    </x:row>
    <x:row r="13">
      <x:c r="A13" s="20"/>
      <x:c r="B13" s="20"/>
      <x:c r="C13" s="20"/>
      <x:c r="D13" s="20"/>
      <x:c r="E13" s="20"/>
      <x:c r="F13" s="20"/>
      <x:c r="G13" s="20"/>
      <x:c r="H13" s="23"/>
      <x:c r="I13" s="20"/>
      <x:c r="J13" s="20"/>
      <x:c r="K13" s="20"/>
      <x:c r="L13" s="20"/>
      <x:c r="M13" s="20"/>
      <x:c r="N13" s="20"/>
      <x:c r="O13" s="23"/>
      <x:c r="P13" s="20"/>
      <x:c r="Q13" s="20"/>
      <x:c r="R13" s="20"/>
      <x:c r="S13" s="23"/>
      <x:c r="T13" s="20"/>
      <x:c r="U13" s="20"/>
      <x:c r="V13" s="23"/>
      <x:c r="W13" s="23"/>
      <x:c r="X13" s="26" t="str">
        <x:f>IF(A13="","",IF(O13&lt;&gt;"",(O13-H13)*24,(NOW()-H13)*24))</x:f>
      </x:c>
    </x:row>
    <x:row r="14">
      <x:c r="A14" s="20"/>
      <x:c r="B14" s="20"/>
      <x:c r="C14" s="20"/>
      <x:c r="D14" s="20"/>
      <x:c r="E14" s="20"/>
      <x:c r="F14" s="20"/>
      <x:c r="G14" s="20"/>
      <x:c r="H14" s="23"/>
      <x:c r="I14" s="20"/>
      <x:c r="J14" s="20"/>
      <x:c r="K14" s="20"/>
      <x:c r="L14" s="20"/>
      <x:c r="M14" s="20"/>
      <x:c r="N14" s="20"/>
      <x:c r="O14" s="23"/>
      <x:c r="P14" s="20"/>
      <x:c r="Q14" s="20"/>
      <x:c r="R14" s="20"/>
      <x:c r="S14" s="23"/>
      <x:c r="T14" s="20"/>
      <x:c r="U14" s="20"/>
      <x:c r="V14" s="23"/>
      <x:c r="W14" s="23"/>
      <x:c r="X14" s="26" t="str">
        <x:f>IF(A14="","",IF(O14&lt;&gt;"",(O14-H14)*24,(NOW()-H14)*24))</x:f>
      </x:c>
    </x:row>
    <x:row r="15">
      <x:c r="A15" s="20"/>
      <x:c r="B15" s="20"/>
      <x:c r="C15" s="20"/>
      <x:c r="D15" s="20"/>
      <x:c r="E15" s="20"/>
      <x:c r="F15" s="20"/>
      <x:c r="G15" s="20"/>
      <x:c r="H15" s="23"/>
      <x:c r="I15" s="20"/>
      <x:c r="J15" s="20"/>
      <x:c r="K15" s="20"/>
      <x:c r="L15" s="20"/>
      <x:c r="M15" s="20"/>
      <x:c r="N15" s="20"/>
      <x:c r="O15" s="23"/>
      <x:c r="P15" s="20"/>
      <x:c r="Q15" s="20"/>
      <x:c r="R15" s="20"/>
      <x:c r="S15" s="23"/>
      <x:c r="T15" s="20"/>
      <x:c r="U15" s="20"/>
      <x:c r="V15" s="23"/>
      <x:c r="W15" s="23"/>
      <x:c r="X15" s="26" t="str">
        <x:f>IF(A15="","",IF(O15&lt;&gt;"",(O15-H15)*24,(NOW()-H15)*24))</x:f>
      </x:c>
    </x:row>
    <x:row r="16">
      <x:c r="A16" s="20"/>
      <x:c r="B16" s="20"/>
      <x:c r="C16" s="20"/>
      <x:c r="D16" s="20"/>
      <x:c r="E16" s="20"/>
      <x:c r="F16" s="20"/>
      <x:c r="G16" s="20"/>
      <x:c r="H16" s="23"/>
      <x:c r="I16" s="20"/>
      <x:c r="J16" s="20"/>
      <x:c r="K16" s="20"/>
      <x:c r="L16" s="20"/>
      <x:c r="M16" s="20"/>
      <x:c r="N16" s="20"/>
      <x:c r="O16" s="23"/>
      <x:c r="P16" s="20"/>
      <x:c r="Q16" s="20"/>
      <x:c r="R16" s="20"/>
      <x:c r="S16" s="23"/>
      <x:c r="T16" s="20"/>
      <x:c r="U16" s="20"/>
      <x:c r="V16" s="23"/>
      <x:c r="W16" s="23"/>
      <x:c r="X16" s="26" t="str">
        <x:f>IF(A16="","",IF(O16&lt;&gt;"",(O16-H16)*24,(NOW()-H16)*24))</x:f>
      </x:c>
    </x:row>
    <x:row r="17">
      <x:c r="A17" s="20"/>
      <x:c r="B17" s="20"/>
      <x:c r="C17" s="20"/>
      <x:c r="D17" s="20"/>
      <x:c r="E17" s="20"/>
      <x:c r="F17" s="20"/>
      <x:c r="G17" s="20"/>
      <x:c r="H17" s="23"/>
      <x:c r="I17" s="20"/>
      <x:c r="J17" s="20"/>
      <x:c r="K17" s="20"/>
      <x:c r="L17" s="20"/>
      <x:c r="M17" s="20"/>
      <x:c r="N17" s="20"/>
      <x:c r="O17" s="23"/>
      <x:c r="P17" s="20"/>
      <x:c r="Q17" s="20"/>
      <x:c r="R17" s="20"/>
      <x:c r="S17" s="23"/>
      <x:c r="T17" s="20"/>
      <x:c r="U17" s="20"/>
      <x:c r="V17" s="23"/>
      <x:c r="W17" s="23"/>
      <x:c r="X17" s="26" t="str">
        <x:f>IF(A17="","",IF(O17&lt;&gt;"",(O17-H17)*24,(NOW()-H17)*24))</x:f>
      </x:c>
    </x:row>
    <x:row r="18">
      <x:c r="A18" s="20"/>
      <x:c r="B18" s="20"/>
      <x:c r="C18" s="20"/>
      <x:c r="D18" s="20"/>
      <x:c r="E18" s="20"/>
      <x:c r="F18" s="20"/>
      <x:c r="G18" s="20"/>
      <x:c r="H18" s="23"/>
      <x:c r="I18" s="20"/>
      <x:c r="J18" s="20"/>
      <x:c r="K18" s="20"/>
      <x:c r="L18" s="20"/>
      <x:c r="M18" s="20"/>
      <x:c r="N18" s="20"/>
      <x:c r="O18" s="23"/>
      <x:c r="P18" s="20"/>
      <x:c r="Q18" s="20"/>
      <x:c r="R18" s="20"/>
      <x:c r="S18" s="23"/>
      <x:c r="T18" s="20"/>
      <x:c r="U18" s="20"/>
      <x:c r="V18" s="23"/>
      <x:c r="W18" s="23"/>
      <x:c r="X18" s="26" t="str">
        <x:f>IF(A18="","",IF(O18&lt;&gt;"",(O18-H18)*24,(NOW()-H18)*24))</x:f>
      </x:c>
    </x:row>
    <x:row r="19">
      <x:c r="A19" s="20"/>
      <x:c r="B19" s="20"/>
      <x:c r="C19" s="20"/>
      <x:c r="D19" s="20"/>
      <x:c r="E19" s="20"/>
      <x:c r="F19" s="20"/>
      <x:c r="G19" s="20"/>
      <x:c r="H19" s="23"/>
      <x:c r="I19" s="20"/>
      <x:c r="J19" s="20"/>
      <x:c r="K19" s="20"/>
      <x:c r="L19" s="20"/>
      <x:c r="M19" s="20"/>
      <x:c r="N19" s="20"/>
      <x:c r="O19" s="23"/>
      <x:c r="P19" s="20"/>
      <x:c r="Q19" s="20"/>
      <x:c r="R19" s="20"/>
      <x:c r="S19" s="23"/>
      <x:c r="T19" s="20"/>
      <x:c r="U19" s="20"/>
      <x:c r="V19" s="23"/>
      <x:c r="W19" s="23"/>
      <x:c r="X19" s="26" t="str">
        <x:f>IF(A19="","",IF(O19&lt;&gt;"",(O19-H19)*24,(NOW()-H19)*24))</x:f>
      </x:c>
    </x:row>
    <x:row r="20">
      <x:c r="A20" s="20"/>
      <x:c r="B20" s="20"/>
      <x:c r="C20" s="20"/>
      <x:c r="D20" s="20"/>
      <x:c r="E20" s="20"/>
      <x:c r="F20" s="20"/>
      <x:c r="G20" s="20"/>
      <x:c r="H20" s="23"/>
      <x:c r="I20" s="20"/>
      <x:c r="J20" s="20"/>
      <x:c r="K20" s="20"/>
      <x:c r="L20" s="20"/>
      <x:c r="M20" s="20"/>
      <x:c r="N20" s="20"/>
      <x:c r="O20" s="23"/>
      <x:c r="P20" s="20"/>
      <x:c r="Q20" s="20"/>
      <x:c r="R20" s="20"/>
      <x:c r="S20" s="23"/>
      <x:c r="T20" s="20"/>
      <x:c r="U20" s="20"/>
      <x:c r="V20" s="23"/>
      <x:c r="W20" s="23"/>
      <x:c r="X20" s="26" t="str">
        <x:f>IF(A20="","",IF(O20&lt;&gt;"",(O20-H20)*24,(NOW()-H20)*24))</x:f>
      </x:c>
    </x:row>
    <x:row r="21">
      <x:c r="A21" s="20"/>
      <x:c r="B21" s="20"/>
      <x:c r="C21" s="20"/>
      <x:c r="D21" s="20"/>
      <x:c r="E21" s="20"/>
      <x:c r="F21" s="20"/>
      <x:c r="G21" s="20"/>
      <x:c r="H21" s="23"/>
      <x:c r="I21" s="20"/>
      <x:c r="J21" s="20"/>
      <x:c r="K21" s="20"/>
      <x:c r="L21" s="20"/>
      <x:c r="M21" s="20"/>
      <x:c r="N21" s="20"/>
      <x:c r="O21" s="23"/>
      <x:c r="P21" s="20"/>
      <x:c r="Q21" s="20"/>
      <x:c r="R21" s="20"/>
      <x:c r="S21" s="23"/>
      <x:c r="T21" s="20"/>
      <x:c r="U21" s="20"/>
      <x:c r="V21" s="23"/>
      <x:c r="W21" s="23"/>
      <x:c r="X21" s="26" t="str">
        <x:f>IF(A21="","",IF(O21&lt;&gt;"",(O21-H21)*24,(NOW()-H21)*24))</x:f>
      </x:c>
    </x:row>
    <x:row r="22">
      <x:c r="A22" s="20"/>
      <x:c r="B22" s="20"/>
      <x:c r="C22" s="20"/>
      <x:c r="D22" s="20"/>
      <x:c r="E22" s="20"/>
      <x:c r="F22" s="20"/>
      <x:c r="G22" s="20"/>
      <x:c r="H22" s="23"/>
      <x:c r="I22" s="20"/>
      <x:c r="J22" s="20"/>
      <x:c r="K22" s="20"/>
      <x:c r="L22" s="20"/>
      <x:c r="M22" s="20"/>
      <x:c r="N22" s="20"/>
      <x:c r="O22" s="23"/>
      <x:c r="P22" s="20"/>
      <x:c r="Q22" s="20"/>
      <x:c r="R22" s="20"/>
      <x:c r="S22" s="23"/>
      <x:c r="T22" s="20"/>
      <x:c r="U22" s="20"/>
      <x:c r="V22" s="23"/>
      <x:c r="W22" s="23"/>
      <x:c r="X22" s="26" t="str">
        <x:f>IF(A22="","",IF(O22&lt;&gt;"",(O22-H22)*24,(NOW()-H22)*24))</x:f>
      </x:c>
    </x:row>
    <x:row r="23">
      <x:c r="A23" s="20"/>
      <x:c r="B23" s="20"/>
      <x:c r="C23" s="20"/>
      <x:c r="D23" s="20"/>
      <x:c r="E23" s="20"/>
      <x:c r="F23" s="20"/>
      <x:c r="G23" s="20"/>
      <x:c r="H23" s="23"/>
      <x:c r="I23" s="20"/>
      <x:c r="J23" s="20"/>
      <x:c r="K23" s="20"/>
      <x:c r="L23" s="20"/>
      <x:c r="M23" s="20"/>
      <x:c r="N23" s="20"/>
      <x:c r="O23" s="23"/>
      <x:c r="P23" s="20"/>
      <x:c r="Q23" s="20"/>
      <x:c r="R23" s="20"/>
      <x:c r="S23" s="23"/>
      <x:c r="T23" s="20"/>
      <x:c r="U23" s="20"/>
      <x:c r="V23" s="23"/>
      <x:c r="W23" s="23"/>
      <x:c r="X23" s="26" t="str">
        <x:f>IF(A23="","",IF(O23&lt;&gt;"",(O23-H23)*24,(NOW()-H23)*24))</x:f>
      </x:c>
    </x:row>
    <x:row r="24">
      <x:c r="A24" s="20"/>
      <x:c r="B24" s="20"/>
      <x:c r="C24" s="20"/>
      <x:c r="D24" s="20"/>
      <x:c r="E24" s="20"/>
      <x:c r="F24" s="20"/>
      <x:c r="G24" s="20"/>
      <x:c r="H24" s="23"/>
      <x:c r="I24" s="20"/>
      <x:c r="J24" s="20"/>
      <x:c r="K24" s="20"/>
      <x:c r="L24" s="20"/>
      <x:c r="M24" s="20"/>
      <x:c r="N24" s="20"/>
      <x:c r="O24" s="23"/>
      <x:c r="P24" s="20"/>
      <x:c r="Q24" s="20"/>
      <x:c r="R24" s="20"/>
      <x:c r="S24" s="23"/>
      <x:c r="T24" s="20"/>
      <x:c r="U24" s="20"/>
      <x:c r="V24" s="23"/>
      <x:c r="W24" s="23"/>
      <x:c r="X24" s="26" t="str">
        <x:f>IF(A24="","",IF(O24&lt;&gt;"",(O24-H24)*24,(NOW()-H24)*24))</x:f>
      </x:c>
    </x:row>
    <x:row r="25">
      <x:c r="A25" s="20"/>
      <x:c r="B25" s="20"/>
      <x:c r="C25" s="20"/>
      <x:c r="D25" s="20"/>
      <x:c r="E25" s="20"/>
      <x:c r="F25" s="20"/>
      <x:c r="G25" s="20"/>
      <x:c r="H25" s="23"/>
      <x:c r="I25" s="20"/>
      <x:c r="J25" s="20"/>
      <x:c r="K25" s="20"/>
      <x:c r="L25" s="20"/>
      <x:c r="M25" s="20"/>
      <x:c r="N25" s="20"/>
      <x:c r="O25" s="23"/>
      <x:c r="P25" s="20"/>
      <x:c r="Q25" s="20"/>
      <x:c r="R25" s="20"/>
      <x:c r="S25" s="23"/>
      <x:c r="T25" s="20"/>
      <x:c r="U25" s="20"/>
      <x:c r="V25" s="23"/>
      <x:c r="W25" s="23"/>
      <x:c r="X25" s="26" t="str">
        <x:f>IF(A25="","",IF(O25&lt;&gt;"",(O25-H25)*24,(NOW()-H25)*24))</x:f>
      </x:c>
    </x:row>
    <x:row r="26">
      <x:c r="A26" s="20"/>
      <x:c r="B26" s="20"/>
      <x:c r="C26" s="20"/>
      <x:c r="D26" s="20"/>
      <x:c r="E26" s="20"/>
      <x:c r="F26" s="20"/>
      <x:c r="G26" s="20"/>
      <x:c r="H26" s="23"/>
      <x:c r="I26" s="20"/>
      <x:c r="J26" s="20"/>
      <x:c r="K26" s="20"/>
      <x:c r="L26" s="20"/>
      <x:c r="M26" s="20"/>
      <x:c r="N26" s="20"/>
      <x:c r="O26" s="23"/>
      <x:c r="P26" s="20"/>
      <x:c r="Q26" s="20"/>
      <x:c r="R26" s="20"/>
      <x:c r="S26" s="23"/>
      <x:c r="T26" s="20"/>
      <x:c r="U26" s="20"/>
      <x:c r="V26" s="23"/>
      <x:c r="W26" s="23"/>
      <x:c r="X26" s="26" t="str">
        <x:f>IF(A26="","",IF(O26&lt;&gt;"",(O26-H26)*24,(NOW()-H26)*24))</x:f>
      </x:c>
    </x:row>
    <x:row r="27">
      <x:c r="A27" s="20"/>
      <x:c r="B27" s="20"/>
      <x:c r="C27" s="20"/>
      <x:c r="D27" s="20"/>
      <x:c r="E27" s="20"/>
      <x:c r="F27" s="20"/>
      <x:c r="G27" s="20"/>
      <x:c r="H27" s="23"/>
      <x:c r="I27" s="20"/>
      <x:c r="J27" s="20"/>
      <x:c r="K27" s="20"/>
      <x:c r="L27" s="20"/>
      <x:c r="M27" s="20"/>
      <x:c r="N27" s="20"/>
      <x:c r="O27" s="23"/>
      <x:c r="P27" s="20"/>
      <x:c r="Q27" s="20"/>
      <x:c r="R27" s="20"/>
      <x:c r="S27" s="23"/>
      <x:c r="T27" s="20"/>
      <x:c r="U27" s="20"/>
      <x:c r="V27" s="23"/>
      <x:c r="W27" s="23"/>
      <x:c r="X27" s="26" t="str">
        <x:f>IF(A27="","",IF(O27&lt;&gt;"",(O27-H27)*24,(NOW()-H27)*24))</x:f>
      </x:c>
    </x:row>
    <x:row r="28">
      <x:c r="A28" s="20"/>
      <x:c r="B28" s="20"/>
      <x:c r="C28" s="20"/>
      <x:c r="D28" s="20"/>
      <x:c r="E28" s="20"/>
      <x:c r="F28" s="20"/>
      <x:c r="G28" s="20"/>
      <x:c r="H28" s="23"/>
      <x:c r="I28" s="20"/>
      <x:c r="J28" s="20"/>
      <x:c r="K28" s="20"/>
      <x:c r="L28" s="20"/>
      <x:c r="M28" s="20"/>
      <x:c r="N28" s="20"/>
      <x:c r="O28" s="23"/>
      <x:c r="P28" s="20"/>
      <x:c r="Q28" s="20"/>
      <x:c r="R28" s="20"/>
      <x:c r="S28" s="23"/>
      <x:c r="T28" s="20"/>
      <x:c r="U28" s="20"/>
      <x:c r="V28" s="23"/>
      <x:c r="W28" s="23"/>
      <x:c r="X28" s="26" t="str">
        <x:f>IF(A28="","",IF(O28&lt;&gt;"",(O28-H28)*24,(NOW()-H28)*24))</x:f>
      </x:c>
    </x:row>
    <x:row r="29">
      <x:c r="A29" s="20"/>
      <x:c r="B29" s="20"/>
      <x:c r="C29" s="20"/>
      <x:c r="D29" s="20"/>
      <x:c r="E29" s="20"/>
      <x:c r="F29" s="20"/>
      <x:c r="G29" s="20"/>
      <x:c r="H29" s="23"/>
      <x:c r="I29" s="20"/>
      <x:c r="J29" s="20"/>
      <x:c r="K29" s="20"/>
      <x:c r="L29" s="20"/>
      <x:c r="M29" s="20"/>
      <x:c r="N29" s="20"/>
      <x:c r="O29" s="23"/>
      <x:c r="P29" s="20"/>
      <x:c r="Q29" s="20"/>
      <x:c r="R29" s="20"/>
      <x:c r="S29" s="23"/>
      <x:c r="T29" s="20"/>
      <x:c r="U29" s="20"/>
      <x:c r="V29" s="23"/>
      <x:c r="W29" s="23"/>
      <x:c r="X29" s="26" t="str">
        <x:f>IF(A29="","",IF(O29&lt;&gt;"",(O29-H29)*24,(NOW()-H29)*24))</x:f>
      </x:c>
    </x:row>
    <x:row r="30">
      <x:c r="A30" s="20"/>
      <x:c r="B30" s="20"/>
      <x:c r="C30" s="20"/>
      <x:c r="D30" s="20"/>
      <x:c r="E30" s="20"/>
      <x:c r="F30" s="20"/>
      <x:c r="G30" s="20"/>
      <x:c r="H30" s="23"/>
      <x:c r="I30" s="20"/>
      <x:c r="J30" s="20"/>
      <x:c r="K30" s="20"/>
      <x:c r="L30" s="20"/>
      <x:c r="M30" s="20"/>
      <x:c r="N30" s="20"/>
      <x:c r="O30" s="23"/>
      <x:c r="P30" s="20"/>
      <x:c r="Q30" s="20"/>
      <x:c r="R30" s="20"/>
      <x:c r="S30" s="23"/>
      <x:c r="T30" s="20"/>
      <x:c r="U30" s="20"/>
      <x:c r="V30" s="23"/>
      <x:c r="W30" s="23"/>
      <x:c r="X30" s="26" t="str">
        <x:f>IF(A30="","",IF(O30&lt;&gt;"",(O30-H30)*24,(NOW()-H30)*24))</x:f>
      </x:c>
    </x:row>
    <x:row r="31">
      <x:c r="A31" s="20"/>
      <x:c r="B31" s="20"/>
      <x:c r="C31" s="20"/>
      <x:c r="D31" s="20"/>
      <x:c r="E31" s="20"/>
      <x:c r="F31" s="20"/>
      <x:c r="G31" s="20"/>
      <x:c r="H31" s="23"/>
      <x:c r="I31" s="20"/>
      <x:c r="J31" s="20"/>
      <x:c r="K31" s="20"/>
      <x:c r="L31" s="20"/>
      <x:c r="M31" s="20"/>
      <x:c r="N31" s="20"/>
      <x:c r="O31" s="23"/>
      <x:c r="P31" s="20"/>
      <x:c r="Q31" s="20"/>
      <x:c r="R31" s="20"/>
      <x:c r="S31" s="23"/>
      <x:c r="T31" s="20"/>
      <x:c r="U31" s="20"/>
      <x:c r="V31" s="23"/>
      <x:c r="W31" s="23"/>
      <x:c r="X31" s="26" t="str">
        <x:f>IF(A31="","",IF(O31&lt;&gt;"",(O31-H31)*24,(NOW()-H31)*24))</x:f>
      </x:c>
    </x:row>
    <x:row r="32">
      <x:c r="A32" s="20"/>
      <x:c r="B32" s="20"/>
      <x:c r="C32" s="20"/>
      <x:c r="D32" s="20"/>
      <x:c r="E32" s="20"/>
      <x:c r="F32" s="20"/>
      <x:c r="G32" s="20"/>
      <x:c r="H32" s="23"/>
      <x:c r="I32" s="20"/>
      <x:c r="J32" s="20"/>
      <x:c r="K32" s="20"/>
      <x:c r="L32" s="20"/>
      <x:c r="M32" s="20"/>
      <x:c r="N32" s="20"/>
      <x:c r="O32" s="23"/>
      <x:c r="P32" s="20"/>
      <x:c r="Q32" s="20"/>
      <x:c r="R32" s="20"/>
      <x:c r="S32" s="23"/>
      <x:c r="T32" s="20"/>
      <x:c r="U32" s="20"/>
      <x:c r="V32" s="23"/>
      <x:c r="W32" s="23"/>
      <x:c r="X32" s="26" t="str">
        <x:f>IF(A32="","",IF(O32&lt;&gt;"",(O32-H32)*24,(NOW()-H32)*24))</x:f>
      </x:c>
    </x:row>
    <x:row r="33">
      <x:c r="A33" s="20"/>
      <x:c r="B33" s="20"/>
      <x:c r="C33" s="20"/>
      <x:c r="D33" s="20"/>
      <x:c r="E33" s="20"/>
      <x:c r="F33" s="20"/>
      <x:c r="G33" s="20"/>
      <x:c r="H33" s="23"/>
      <x:c r="I33" s="20"/>
      <x:c r="J33" s="20"/>
      <x:c r="K33" s="20"/>
      <x:c r="L33" s="20"/>
      <x:c r="M33" s="20"/>
      <x:c r="N33" s="20"/>
      <x:c r="O33" s="23"/>
      <x:c r="P33" s="20"/>
      <x:c r="Q33" s="20"/>
      <x:c r="R33" s="20"/>
      <x:c r="S33" s="23"/>
      <x:c r="T33" s="20"/>
      <x:c r="U33" s="20"/>
      <x:c r="V33" s="23"/>
      <x:c r="W33" s="23"/>
      <x:c r="X33" s="26" t="str">
        <x:f>IF(A33="","",IF(O33&lt;&gt;"",(O33-H33)*24,(NOW()-H33)*24))</x:f>
      </x:c>
    </x:row>
    <x:row r="34">
      <x:c r="A34" s="20"/>
      <x:c r="B34" s="20"/>
      <x:c r="C34" s="20"/>
      <x:c r="D34" s="20"/>
      <x:c r="E34" s="20"/>
      <x:c r="F34" s="20"/>
      <x:c r="G34" s="20"/>
      <x:c r="H34" s="23"/>
      <x:c r="I34" s="20"/>
      <x:c r="J34" s="20"/>
      <x:c r="K34" s="20"/>
      <x:c r="L34" s="20"/>
      <x:c r="M34" s="20"/>
      <x:c r="N34" s="20"/>
      <x:c r="O34" s="23"/>
      <x:c r="P34" s="20"/>
      <x:c r="Q34" s="20"/>
      <x:c r="R34" s="20"/>
      <x:c r="S34" s="23"/>
      <x:c r="T34" s="20"/>
      <x:c r="U34" s="20"/>
      <x:c r="V34" s="23"/>
      <x:c r="W34" s="23"/>
      <x:c r="X34" s="26" t="str">
        <x:f>IF(A34="","",IF(O34&lt;&gt;"",(O34-H34)*24,(NOW()-H34)*24))</x:f>
      </x:c>
    </x:row>
    <x:row r="35">
      <x:c r="A35" s="20"/>
      <x:c r="B35" s="20"/>
      <x:c r="C35" s="20"/>
      <x:c r="D35" s="20"/>
      <x:c r="E35" s="20"/>
      <x:c r="F35" s="20"/>
      <x:c r="G35" s="20"/>
      <x:c r="H35" s="23"/>
      <x:c r="I35" s="20"/>
      <x:c r="J35" s="20"/>
      <x:c r="K35" s="20"/>
      <x:c r="L35" s="20"/>
      <x:c r="M35" s="20"/>
      <x:c r="N35" s="20"/>
      <x:c r="O35" s="23"/>
      <x:c r="P35" s="20"/>
      <x:c r="Q35" s="20"/>
      <x:c r="R35" s="20"/>
      <x:c r="S35" s="23"/>
      <x:c r="T35" s="20"/>
      <x:c r="U35" s="20"/>
      <x:c r="V35" s="23"/>
      <x:c r="W35" s="23"/>
      <x:c r="X35" s="26" t="str">
        <x:f>IF(A35="","",IF(O35&lt;&gt;"",(O35-H35)*24,(NOW()-H35)*24))</x:f>
      </x:c>
    </x:row>
    <x:row r="36">
      <x:c r="A36" s="20"/>
      <x:c r="B36" s="20"/>
      <x:c r="C36" s="20"/>
      <x:c r="D36" s="20"/>
      <x:c r="E36" s="20"/>
      <x:c r="F36" s="20"/>
      <x:c r="G36" s="20"/>
      <x:c r="H36" s="23"/>
      <x:c r="I36" s="20"/>
      <x:c r="J36" s="20"/>
      <x:c r="K36" s="20"/>
      <x:c r="L36" s="20"/>
      <x:c r="M36" s="20"/>
      <x:c r="N36" s="20"/>
      <x:c r="O36" s="23"/>
      <x:c r="P36" s="20"/>
      <x:c r="Q36" s="20"/>
      <x:c r="R36" s="20"/>
      <x:c r="S36" s="23"/>
      <x:c r="T36" s="20"/>
      <x:c r="U36" s="20"/>
      <x:c r="V36" s="23"/>
      <x:c r="W36" s="23"/>
      <x:c r="X36" s="26" t="str">
        <x:f>IF(A36="","",IF(O36&lt;&gt;"",(O36-H36)*24,(NOW()-H36)*24))</x:f>
      </x:c>
    </x:row>
    <x:row r="37">
      <x:c r="A37" s="20"/>
      <x:c r="B37" s="20"/>
      <x:c r="C37" s="20"/>
      <x:c r="D37" s="20"/>
      <x:c r="E37" s="20"/>
      <x:c r="F37" s="20"/>
      <x:c r="G37" s="20"/>
      <x:c r="H37" s="23"/>
      <x:c r="I37" s="20"/>
      <x:c r="J37" s="20"/>
      <x:c r="K37" s="20"/>
      <x:c r="L37" s="20"/>
      <x:c r="M37" s="20"/>
      <x:c r="N37" s="20"/>
      <x:c r="O37" s="23"/>
      <x:c r="P37" s="20"/>
      <x:c r="Q37" s="20"/>
      <x:c r="R37" s="20"/>
      <x:c r="S37" s="23"/>
      <x:c r="T37" s="20"/>
      <x:c r="U37" s="20"/>
      <x:c r="V37" s="23"/>
      <x:c r="W37" s="23"/>
      <x:c r="X37" s="26" t="str">
        <x:f>IF(A37="","",IF(O37&lt;&gt;"",(O37-H37)*24,(NOW()-H37)*24))</x:f>
      </x:c>
    </x:row>
    <x:row r="38">
      <x:c r="A38" s="20"/>
      <x:c r="B38" s="20"/>
      <x:c r="C38" s="20"/>
      <x:c r="D38" s="20"/>
      <x:c r="E38" s="20"/>
      <x:c r="F38" s="20"/>
      <x:c r="G38" s="20"/>
      <x:c r="H38" s="23"/>
      <x:c r="I38" s="20"/>
      <x:c r="J38" s="20"/>
      <x:c r="K38" s="20"/>
      <x:c r="L38" s="20"/>
      <x:c r="M38" s="20"/>
      <x:c r="N38" s="20"/>
      <x:c r="O38" s="23"/>
      <x:c r="P38" s="20"/>
      <x:c r="Q38" s="20"/>
      <x:c r="R38" s="20"/>
      <x:c r="S38" s="23"/>
      <x:c r="T38" s="20"/>
      <x:c r="U38" s="20"/>
      <x:c r="V38" s="23"/>
      <x:c r="W38" s="23"/>
      <x:c r="X38" s="26" t="str">
        <x:f>IF(A38="","",IF(O38&lt;&gt;"",(O38-H38)*24,(NOW()-H38)*24))</x:f>
      </x:c>
    </x:row>
    <x:row r="39">
      <x:c r="A39" s="20"/>
      <x:c r="B39" s="20"/>
      <x:c r="C39" s="20"/>
      <x:c r="D39" s="20"/>
      <x:c r="E39" s="20"/>
      <x:c r="F39" s="20"/>
      <x:c r="G39" s="20"/>
      <x:c r="H39" s="23"/>
      <x:c r="I39" s="20"/>
      <x:c r="J39" s="20"/>
      <x:c r="K39" s="20"/>
      <x:c r="L39" s="20"/>
      <x:c r="M39" s="20"/>
      <x:c r="N39" s="20"/>
      <x:c r="O39" s="23"/>
      <x:c r="P39" s="20"/>
      <x:c r="Q39" s="20"/>
      <x:c r="R39" s="20"/>
      <x:c r="S39" s="23"/>
      <x:c r="T39" s="20"/>
      <x:c r="U39" s="20"/>
      <x:c r="V39" s="23"/>
      <x:c r="W39" s="23"/>
      <x:c r="X39" s="26" t="str">
        <x:f>IF(A39="","",IF(O39&lt;&gt;"",(O39-H39)*24,(NOW()-H39)*24))</x:f>
      </x:c>
    </x:row>
    <x:row r="40">
      <x:c r="A40" s="20"/>
      <x:c r="B40" s="20"/>
      <x:c r="C40" s="20"/>
      <x:c r="D40" s="20"/>
      <x:c r="E40" s="20"/>
      <x:c r="F40" s="20"/>
      <x:c r="G40" s="20"/>
      <x:c r="H40" s="23"/>
      <x:c r="I40" s="20"/>
      <x:c r="J40" s="20"/>
      <x:c r="K40" s="20"/>
      <x:c r="L40" s="20"/>
      <x:c r="M40" s="20"/>
      <x:c r="N40" s="20"/>
      <x:c r="O40" s="23"/>
      <x:c r="P40" s="20"/>
      <x:c r="Q40" s="20"/>
      <x:c r="R40" s="20"/>
      <x:c r="S40" s="23"/>
      <x:c r="T40" s="20"/>
      <x:c r="U40" s="20"/>
      <x:c r="V40" s="23"/>
      <x:c r="W40" s="23"/>
      <x:c r="X40" s="26" t="str">
        <x:f>IF(A40="","",IF(O40&lt;&gt;"",(O40-H40)*24,(NOW()-H40)*24))</x:f>
      </x:c>
    </x:row>
    <x:row r="41">
      <x:c r="A41" s="20"/>
      <x:c r="B41" s="20"/>
      <x:c r="C41" s="20"/>
      <x:c r="D41" s="20"/>
      <x:c r="E41" s="20"/>
      <x:c r="F41" s="20"/>
      <x:c r="G41" s="20"/>
      <x:c r="H41" s="23"/>
      <x:c r="I41" s="20"/>
      <x:c r="J41" s="20"/>
      <x:c r="K41" s="20"/>
      <x:c r="L41" s="20"/>
      <x:c r="M41" s="20"/>
      <x:c r="N41" s="20"/>
      <x:c r="O41" s="23"/>
      <x:c r="P41" s="20"/>
      <x:c r="Q41" s="20"/>
      <x:c r="R41" s="20"/>
      <x:c r="S41" s="23"/>
      <x:c r="T41" s="20"/>
      <x:c r="U41" s="20"/>
      <x:c r="V41" s="23"/>
      <x:c r="W41" s="23"/>
      <x:c r="X41" s="26" t="str">
        <x:f>IF(A41="","",IF(O41&lt;&gt;"",(O41-H41)*24,(NOW()-H41)*24))</x:f>
      </x:c>
    </x:row>
    <x:row r="42">
      <x:c r="A42" s="20"/>
      <x:c r="B42" s="20"/>
      <x:c r="C42" s="20"/>
      <x:c r="D42" s="20"/>
      <x:c r="E42" s="20"/>
      <x:c r="F42" s="20"/>
      <x:c r="G42" s="20"/>
      <x:c r="H42" s="23"/>
      <x:c r="I42" s="20"/>
      <x:c r="J42" s="20"/>
      <x:c r="K42" s="20"/>
      <x:c r="L42" s="20"/>
      <x:c r="M42" s="20"/>
      <x:c r="N42" s="20"/>
      <x:c r="O42" s="23"/>
      <x:c r="P42" s="20"/>
      <x:c r="Q42" s="20"/>
      <x:c r="R42" s="20"/>
      <x:c r="S42" s="23"/>
      <x:c r="T42" s="20"/>
      <x:c r="U42" s="20"/>
      <x:c r="V42" s="23"/>
      <x:c r="W42" s="23"/>
      <x:c r="X42" s="26" t="str">
        <x:f>IF(A42="","",IF(O42&lt;&gt;"",(O42-H42)*24,(NOW()-H42)*24))</x:f>
      </x:c>
    </x:row>
    <x:row r="43">
      <x:c r="A43" s="20"/>
      <x:c r="B43" s="20"/>
      <x:c r="C43" s="20"/>
      <x:c r="D43" s="20"/>
      <x:c r="E43" s="20"/>
      <x:c r="F43" s="20"/>
      <x:c r="G43" s="20"/>
      <x:c r="H43" s="23"/>
      <x:c r="I43" s="20"/>
      <x:c r="J43" s="20"/>
      <x:c r="K43" s="20"/>
      <x:c r="L43" s="20"/>
      <x:c r="M43" s="20"/>
      <x:c r="N43" s="20"/>
      <x:c r="O43" s="23"/>
      <x:c r="P43" s="20"/>
      <x:c r="Q43" s="20"/>
      <x:c r="R43" s="20"/>
      <x:c r="S43" s="23"/>
      <x:c r="T43" s="20"/>
      <x:c r="U43" s="20"/>
      <x:c r="V43" s="23"/>
      <x:c r="W43" s="23"/>
      <x:c r="X43" s="26" t="str">
        <x:f>IF(A43="","",IF(O43&lt;&gt;"",(O43-H43)*24,(NOW()-H43)*24))</x:f>
      </x:c>
    </x:row>
    <x:row r="44">
      <x:c r="A44" s="20"/>
      <x:c r="B44" s="20"/>
      <x:c r="C44" s="20"/>
      <x:c r="D44" s="20"/>
      <x:c r="E44" s="20"/>
      <x:c r="F44" s="20"/>
      <x:c r="G44" s="20"/>
      <x:c r="H44" s="23"/>
      <x:c r="I44" s="20"/>
      <x:c r="J44" s="20"/>
      <x:c r="K44" s="20"/>
      <x:c r="L44" s="20"/>
      <x:c r="M44" s="20"/>
      <x:c r="N44" s="20"/>
      <x:c r="O44" s="23"/>
      <x:c r="P44" s="20"/>
      <x:c r="Q44" s="20"/>
      <x:c r="R44" s="20"/>
      <x:c r="S44" s="23"/>
      <x:c r="T44" s="20"/>
      <x:c r="U44" s="20"/>
      <x:c r="V44" s="23"/>
      <x:c r="W44" s="23"/>
      <x:c r="X44" s="26" t="str">
        <x:f>IF(A44="","",IF(O44&lt;&gt;"",(O44-H44)*24,(NOW()-H44)*24))</x:f>
      </x:c>
    </x:row>
    <x:row r="45">
      <x:c r="A45" s="20"/>
      <x:c r="B45" s="20"/>
      <x:c r="C45" s="20"/>
      <x:c r="D45" s="20"/>
      <x:c r="E45" s="20"/>
      <x:c r="F45" s="20"/>
      <x:c r="G45" s="20"/>
      <x:c r="H45" s="23"/>
      <x:c r="I45" s="20"/>
      <x:c r="J45" s="20"/>
      <x:c r="K45" s="20"/>
      <x:c r="L45" s="20"/>
      <x:c r="M45" s="20"/>
      <x:c r="N45" s="20"/>
      <x:c r="O45" s="23"/>
      <x:c r="P45" s="20"/>
      <x:c r="Q45" s="20"/>
      <x:c r="R45" s="20"/>
      <x:c r="S45" s="23"/>
      <x:c r="T45" s="20"/>
      <x:c r="U45" s="20"/>
      <x:c r="V45" s="23"/>
      <x:c r="W45" s="23"/>
      <x:c r="X45" s="26" t="str">
        <x:f>IF(A45="","",IF(O45&lt;&gt;"",(O45-H45)*24,(NOW()-H45)*24))</x:f>
      </x:c>
    </x:row>
    <x:row r="46">
      <x:c r="A46" s="20"/>
      <x:c r="B46" s="20"/>
      <x:c r="C46" s="20"/>
      <x:c r="D46" s="20"/>
      <x:c r="E46" s="20"/>
      <x:c r="F46" s="20"/>
      <x:c r="G46" s="20"/>
      <x:c r="H46" s="23"/>
      <x:c r="I46" s="20"/>
      <x:c r="J46" s="20"/>
      <x:c r="K46" s="20"/>
      <x:c r="L46" s="20"/>
      <x:c r="M46" s="20"/>
      <x:c r="N46" s="20"/>
      <x:c r="O46" s="23"/>
      <x:c r="P46" s="20"/>
      <x:c r="Q46" s="20"/>
      <x:c r="R46" s="20"/>
      <x:c r="S46" s="23"/>
      <x:c r="T46" s="20"/>
      <x:c r="U46" s="20"/>
      <x:c r="V46" s="23"/>
      <x:c r="W46" s="23"/>
      <x:c r="X46" s="26" t="str">
        <x:f>IF(A46="","",IF(O46&lt;&gt;"",(O46-H46)*24,(NOW()-H46)*24))</x:f>
      </x:c>
    </x:row>
    <x:row r="47">
      <x:c r="A47" s="20"/>
      <x:c r="B47" s="20"/>
      <x:c r="C47" s="20"/>
      <x:c r="D47" s="20"/>
      <x:c r="E47" s="20"/>
      <x:c r="F47" s="20"/>
      <x:c r="G47" s="20"/>
      <x:c r="H47" s="23"/>
      <x:c r="I47" s="20"/>
      <x:c r="J47" s="20"/>
      <x:c r="K47" s="20"/>
      <x:c r="L47" s="20"/>
      <x:c r="M47" s="20"/>
      <x:c r="N47" s="20"/>
      <x:c r="O47" s="23"/>
      <x:c r="P47" s="20"/>
      <x:c r="Q47" s="20"/>
      <x:c r="R47" s="20"/>
      <x:c r="S47" s="23"/>
      <x:c r="T47" s="20"/>
      <x:c r="U47" s="20"/>
      <x:c r="V47" s="23"/>
      <x:c r="W47" s="23"/>
      <x:c r="X47" s="26" t="str">
        <x:f>IF(A47="","",IF(O47&lt;&gt;"",(O47-H47)*24,(NOW()-H47)*24))</x:f>
      </x:c>
    </x:row>
    <x:row r="48">
      <x:c r="A48" s="20"/>
      <x:c r="B48" s="20"/>
      <x:c r="C48" s="20"/>
      <x:c r="D48" s="20"/>
      <x:c r="E48" s="20"/>
      <x:c r="F48" s="20"/>
      <x:c r="G48" s="20"/>
      <x:c r="H48" s="23"/>
      <x:c r="I48" s="20"/>
      <x:c r="J48" s="20"/>
      <x:c r="K48" s="20"/>
      <x:c r="L48" s="20"/>
      <x:c r="M48" s="20"/>
      <x:c r="N48" s="20"/>
      <x:c r="O48" s="23"/>
      <x:c r="P48" s="20"/>
      <x:c r="Q48" s="20"/>
      <x:c r="R48" s="20"/>
      <x:c r="S48" s="23"/>
      <x:c r="T48" s="20"/>
      <x:c r="U48" s="20"/>
      <x:c r="V48" s="23"/>
      <x:c r="W48" s="23"/>
      <x:c r="X48" s="26" t="str">
        <x:f>IF(A48="","",IF(O48&lt;&gt;"",(O48-H48)*24,(NOW()-H48)*24))</x:f>
      </x:c>
    </x:row>
    <x:row r="49">
      <x:c r="A49" s="20"/>
      <x:c r="B49" s="20"/>
      <x:c r="C49" s="20"/>
      <x:c r="D49" s="20"/>
      <x:c r="E49" s="20"/>
      <x:c r="F49" s="20"/>
      <x:c r="G49" s="20"/>
      <x:c r="H49" s="23"/>
      <x:c r="I49" s="20"/>
      <x:c r="J49" s="20"/>
      <x:c r="K49" s="20"/>
      <x:c r="L49" s="20"/>
      <x:c r="M49" s="20"/>
      <x:c r="N49" s="20"/>
      <x:c r="O49" s="23"/>
      <x:c r="P49" s="20"/>
      <x:c r="Q49" s="20"/>
      <x:c r="R49" s="20"/>
      <x:c r="S49" s="23"/>
      <x:c r="T49" s="20"/>
      <x:c r="U49" s="20"/>
      <x:c r="V49" s="23"/>
      <x:c r="W49" s="23"/>
      <x:c r="X49" s="26" t="str">
        <x:f>IF(A49="","",IF(O49&lt;&gt;"",(O49-H49)*24,(NOW()-H49)*24))</x:f>
      </x:c>
    </x:row>
    <x:row r="50">
      <x:c r="A50" s="20"/>
      <x:c r="B50" s="20"/>
      <x:c r="C50" s="20"/>
      <x:c r="D50" s="20"/>
      <x:c r="E50" s="20"/>
      <x:c r="F50" s="20"/>
      <x:c r="G50" s="20"/>
      <x:c r="H50" s="23"/>
      <x:c r="I50" s="20"/>
      <x:c r="J50" s="20"/>
      <x:c r="K50" s="20"/>
      <x:c r="L50" s="20"/>
      <x:c r="M50" s="20"/>
      <x:c r="N50" s="20"/>
      <x:c r="O50" s="23"/>
      <x:c r="P50" s="20"/>
      <x:c r="Q50" s="20"/>
      <x:c r="R50" s="20"/>
      <x:c r="S50" s="23"/>
      <x:c r="T50" s="20"/>
      <x:c r="U50" s="20"/>
      <x:c r="V50" s="23"/>
      <x:c r="W50" s="23"/>
      <x:c r="X50" s="26" t="str">
        <x:f>IF(A50="","",IF(O50&lt;&gt;"",(O50-H50)*24,(NOW()-H50)*24))</x:f>
      </x:c>
    </x:row>
    <x:row r="51">
      <x:c r="A51" s="20"/>
      <x:c r="B51" s="20"/>
      <x:c r="C51" s="20"/>
      <x:c r="D51" s="20"/>
      <x:c r="E51" s="20"/>
      <x:c r="F51" s="20"/>
      <x:c r="G51" s="20"/>
      <x:c r="H51" s="23"/>
      <x:c r="I51" s="20"/>
      <x:c r="J51" s="20"/>
      <x:c r="K51" s="20"/>
      <x:c r="L51" s="20"/>
      <x:c r="M51" s="20"/>
      <x:c r="N51" s="20"/>
      <x:c r="O51" s="23"/>
      <x:c r="P51" s="20"/>
      <x:c r="Q51" s="20"/>
      <x:c r="R51" s="20"/>
      <x:c r="S51" s="23"/>
      <x:c r="T51" s="20"/>
      <x:c r="U51" s="20"/>
      <x:c r="V51" s="23"/>
      <x:c r="W51" s="23"/>
      <x:c r="X51" s="26" t="str">
        <x:f>IF(A51="","",IF(O51&lt;&gt;"",(O51-H51)*24,(NOW()-H51)*24))</x:f>
      </x:c>
    </x:row>
    <x:row r="52">
      <x:c r="A52" s="20"/>
      <x:c r="B52" s="20"/>
      <x:c r="C52" s="20"/>
      <x:c r="D52" s="20"/>
      <x:c r="E52" s="20"/>
      <x:c r="F52" s="20"/>
      <x:c r="G52" s="20"/>
      <x:c r="H52" s="23"/>
      <x:c r="I52" s="20"/>
      <x:c r="J52" s="20"/>
      <x:c r="K52" s="20"/>
      <x:c r="L52" s="20"/>
      <x:c r="M52" s="20"/>
      <x:c r="N52" s="20"/>
      <x:c r="O52" s="23"/>
      <x:c r="P52" s="20"/>
      <x:c r="Q52" s="20"/>
      <x:c r="R52" s="20"/>
      <x:c r="S52" s="23"/>
      <x:c r="T52" s="20"/>
      <x:c r="U52" s="20"/>
      <x:c r="V52" s="23"/>
      <x:c r="W52" s="23"/>
      <x:c r="X52" s="26" t="str">
        <x:f>IF(A52="","",IF(O52&lt;&gt;"",(O52-H52)*24,(NOW()-H52)*24))</x:f>
      </x:c>
    </x:row>
    <x:row r="53">
      <x:c r="A53" s="20"/>
      <x:c r="B53" s="20"/>
      <x:c r="C53" s="20"/>
      <x:c r="D53" s="20"/>
      <x:c r="E53" s="20"/>
      <x:c r="F53" s="20"/>
      <x:c r="G53" s="20"/>
      <x:c r="H53" s="23"/>
      <x:c r="I53" s="20"/>
      <x:c r="J53" s="20"/>
      <x:c r="K53" s="20"/>
      <x:c r="L53" s="20"/>
      <x:c r="M53" s="20"/>
      <x:c r="N53" s="20"/>
      <x:c r="O53" s="23"/>
      <x:c r="P53" s="20"/>
      <x:c r="Q53" s="20"/>
      <x:c r="R53" s="20"/>
      <x:c r="S53" s="23"/>
      <x:c r="T53" s="20"/>
      <x:c r="U53" s="20"/>
      <x:c r="V53" s="23"/>
      <x:c r="W53" s="23"/>
      <x:c r="X53" s="26" t="str">
        <x:f>IF(A53="","",IF(O53&lt;&gt;"",(O53-H53)*24,(NOW()-H53)*24))</x:f>
      </x:c>
    </x:row>
    <x:row r="54">
      <x:c r="A54" s="20"/>
      <x:c r="B54" s="20"/>
      <x:c r="C54" s="20"/>
      <x:c r="D54" s="20"/>
      <x:c r="E54" s="20"/>
      <x:c r="F54" s="20"/>
      <x:c r="G54" s="20"/>
      <x:c r="H54" s="23"/>
      <x:c r="I54" s="20"/>
      <x:c r="J54" s="20"/>
      <x:c r="K54" s="20"/>
      <x:c r="L54" s="20"/>
      <x:c r="M54" s="20"/>
      <x:c r="N54" s="20"/>
      <x:c r="O54" s="23"/>
      <x:c r="P54" s="20"/>
      <x:c r="Q54" s="20"/>
      <x:c r="R54" s="20"/>
      <x:c r="S54" s="23"/>
      <x:c r="T54" s="20"/>
      <x:c r="U54" s="20"/>
      <x:c r="V54" s="23"/>
      <x:c r="W54" s="23"/>
      <x:c r="X54" s="26" t="str">
        <x:f>IF(A54="","",IF(O54&lt;&gt;"",(O54-H54)*24,(NOW()-H54)*24))</x:f>
      </x:c>
    </x:row>
    <x:row r="55">
      <x:c r="A55" s="20"/>
      <x:c r="B55" s="20"/>
      <x:c r="C55" s="20"/>
      <x:c r="D55" s="20"/>
      <x:c r="E55" s="20"/>
      <x:c r="F55" s="20"/>
      <x:c r="G55" s="20"/>
      <x:c r="H55" s="23"/>
      <x:c r="I55" s="20"/>
      <x:c r="J55" s="20"/>
      <x:c r="K55" s="20"/>
      <x:c r="L55" s="20"/>
      <x:c r="M55" s="20"/>
      <x:c r="N55" s="20"/>
      <x:c r="O55" s="23"/>
      <x:c r="P55" s="20"/>
      <x:c r="Q55" s="20"/>
      <x:c r="R55" s="20"/>
      <x:c r="S55" s="23"/>
      <x:c r="T55" s="20"/>
      <x:c r="U55" s="20"/>
      <x:c r="V55" s="23"/>
      <x:c r="W55" s="23"/>
      <x:c r="X55" s="26" t="str">
        <x:f>IF(A55="","",IF(O55&lt;&gt;"",(O55-H55)*24,(NOW()-H55)*24))</x:f>
      </x:c>
    </x:row>
    <x:row r="56">
      <x:c r="A56" s="20"/>
      <x:c r="B56" s="20"/>
      <x:c r="C56" s="20"/>
      <x:c r="D56" s="20"/>
      <x:c r="E56" s="20"/>
      <x:c r="F56" s="20"/>
      <x:c r="G56" s="20"/>
      <x:c r="H56" s="23"/>
      <x:c r="I56" s="20"/>
      <x:c r="J56" s="20"/>
      <x:c r="K56" s="20"/>
      <x:c r="L56" s="20"/>
      <x:c r="M56" s="20"/>
      <x:c r="N56" s="20"/>
      <x:c r="O56" s="23"/>
      <x:c r="P56" s="20"/>
      <x:c r="Q56" s="20"/>
      <x:c r="R56" s="20"/>
      <x:c r="S56" s="23"/>
      <x:c r="T56" s="20"/>
      <x:c r="U56" s="20"/>
      <x:c r="V56" s="23"/>
      <x:c r="W56" s="23"/>
      <x:c r="X56" s="26" t="str">
        <x:f>IF(A56="","",IF(O56&lt;&gt;"",(O56-H56)*24,(NOW()-H56)*24))</x:f>
      </x:c>
    </x:row>
    <x:row r="57">
      <x:c r="A57" s="20"/>
      <x:c r="B57" s="20"/>
      <x:c r="C57" s="20"/>
      <x:c r="D57" s="20"/>
      <x:c r="E57" s="20"/>
      <x:c r="F57" s="20"/>
      <x:c r="G57" s="20"/>
      <x:c r="H57" s="23"/>
      <x:c r="I57" s="20"/>
      <x:c r="J57" s="20"/>
      <x:c r="K57" s="20"/>
      <x:c r="L57" s="20"/>
      <x:c r="M57" s="20"/>
      <x:c r="N57" s="20"/>
      <x:c r="O57" s="23"/>
      <x:c r="P57" s="20"/>
      <x:c r="Q57" s="20"/>
      <x:c r="R57" s="20"/>
      <x:c r="S57" s="23"/>
      <x:c r="T57" s="20"/>
      <x:c r="U57" s="20"/>
      <x:c r="V57" s="23"/>
      <x:c r="W57" s="23"/>
      <x:c r="X57" s="26" t="str">
        <x:f>IF(A57="","",IF(O57&lt;&gt;"",(O57-H57)*24,(NOW()-H57)*24))</x:f>
      </x:c>
    </x:row>
    <x:row r="58">
      <x:c r="A58" s="20"/>
      <x:c r="B58" s="20"/>
      <x:c r="C58" s="20"/>
      <x:c r="D58" s="20"/>
      <x:c r="E58" s="20"/>
      <x:c r="F58" s="20"/>
      <x:c r="G58" s="20"/>
      <x:c r="H58" s="23"/>
      <x:c r="I58" s="20"/>
      <x:c r="J58" s="20"/>
      <x:c r="K58" s="20"/>
      <x:c r="L58" s="20"/>
      <x:c r="M58" s="20"/>
      <x:c r="N58" s="20"/>
      <x:c r="O58" s="23"/>
      <x:c r="P58" s="20"/>
      <x:c r="Q58" s="20"/>
      <x:c r="R58" s="20"/>
      <x:c r="S58" s="23"/>
      <x:c r="T58" s="20"/>
      <x:c r="U58" s="20"/>
      <x:c r="V58" s="23"/>
      <x:c r="W58" s="23"/>
      <x:c r="X58" s="26" t="str">
        <x:f>IF(A58="","",IF(O58&lt;&gt;"",(O58-H58)*24,(NOW()-H58)*24))</x:f>
      </x:c>
    </x:row>
    <x:row r="59">
      <x:c r="A59" s="20"/>
      <x:c r="B59" s="20"/>
      <x:c r="C59" s="20"/>
      <x:c r="D59" s="20"/>
      <x:c r="E59" s="20"/>
      <x:c r="F59" s="20"/>
      <x:c r="G59" s="20"/>
      <x:c r="H59" s="23"/>
      <x:c r="I59" s="20"/>
      <x:c r="J59" s="20"/>
      <x:c r="K59" s="20"/>
      <x:c r="L59" s="20"/>
      <x:c r="M59" s="20"/>
      <x:c r="N59" s="20"/>
      <x:c r="O59" s="23"/>
      <x:c r="P59" s="20"/>
      <x:c r="Q59" s="20"/>
      <x:c r="R59" s="20"/>
      <x:c r="S59" s="23"/>
      <x:c r="T59" s="20"/>
      <x:c r="U59" s="20"/>
      <x:c r="V59" s="23"/>
      <x:c r="W59" s="23"/>
      <x:c r="X59" s="26" t="str">
        <x:f>IF(A59="","",IF(O59&lt;&gt;"",(O59-H59)*24,(NOW()-H59)*24))</x:f>
      </x:c>
    </x:row>
    <x:row r="60">
      <x:c r="A60" s="20"/>
      <x:c r="B60" s="20"/>
      <x:c r="C60" s="20"/>
      <x:c r="D60" s="20"/>
      <x:c r="E60" s="20"/>
      <x:c r="F60" s="20"/>
      <x:c r="G60" s="20"/>
      <x:c r="H60" s="23"/>
      <x:c r="I60" s="20"/>
      <x:c r="J60" s="20"/>
      <x:c r="K60" s="20"/>
      <x:c r="L60" s="20"/>
      <x:c r="M60" s="20"/>
      <x:c r="N60" s="20"/>
      <x:c r="O60" s="23"/>
      <x:c r="P60" s="20"/>
      <x:c r="Q60" s="20"/>
      <x:c r="R60" s="20"/>
      <x:c r="S60" s="23"/>
      <x:c r="T60" s="20"/>
      <x:c r="U60" s="20"/>
      <x:c r="V60" s="23"/>
      <x:c r="W60" s="23"/>
      <x:c r="X60" s="26" t="str">
        <x:f>IF(A60="","",IF(O60&lt;&gt;"",(O60-H60)*24,(NOW()-H60)*24))</x:f>
      </x:c>
    </x:row>
    <x:row r="61">
      <x:c r="A61" s="20"/>
      <x:c r="B61" s="20"/>
      <x:c r="C61" s="20"/>
      <x:c r="D61" s="20"/>
      <x:c r="E61" s="20"/>
      <x:c r="F61" s="20"/>
      <x:c r="G61" s="20"/>
      <x:c r="H61" s="23"/>
      <x:c r="I61" s="20"/>
      <x:c r="J61" s="20"/>
      <x:c r="K61" s="20"/>
      <x:c r="L61" s="20"/>
      <x:c r="M61" s="20"/>
      <x:c r="N61" s="20"/>
      <x:c r="O61" s="23"/>
      <x:c r="P61" s="20"/>
      <x:c r="Q61" s="20"/>
      <x:c r="R61" s="20"/>
      <x:c r="S61" s="23"/>
      <x:c r="T61" s="20"/>
      <x:c r="U61" s="20"/>
      <x:c r="V61" s="23"/>
      <x:c r="W61" s="23"/>
      <x:c r="X61" s="26" t="str">
        <x:f>IF(A61="","",IF(O61&lt;&gt;"",(O61-H61)*24,(NOW()-H61)*24))</x:f>
      </x:c>
    </x:row>
    <x:row r="62">
      <x:c r="A62" s="20"/>
      <x:c r="B62" s="20"/>
      <x:c r="C62" s="20"/>
      <x:c r="D62" s="20"/>
      <x:c r="E62" s="20"/>
      <x:c r="F62" s="20"/>
      <x:c r="G62" s="20"/>
      <x:c r="H62" s="23"/>
      <x:c r="I62" s="20"/>
      <x:c r="J62" s="20"/>
      <x:c r="K62" s="20"/>
      <x:c r="L62" s="20"/>
      <x:c r="M62" s="20"/>
      <x:c r="N62" s="20"/>
      <x:c r="O62" s="23"/>
      <x:c r="P62" s="20"/>
      <x:c r="Q62" s="20"/>
      <x:c r="R62" s="20"/>
      <x:c r="S62" s="23"/>
      <x:c r="T62" s="20"/>
      <x:c r="U62" s="20"/>
      <x:c r="V62" s="23"/>
      <x:c r="W62" s="23"/>
      <x:c r="X62" s="26" t="str">
        <x:f>IF(A62="","",IF(O62&lt;&gt;"",(O62-H62)*24,(NOW()-H62)*24))</x:f>
      </x:c>
    </x:row>
    <x:row r="63">
      <x:c r="A63" s="20"/>
      <x:c r="B63" s="20"/>
      <x:c r="C63" s="20"/>
      <x:c r="D63" s="20"/>
      <x:c r="E63" s="20"/>
      <x:c r="F63" s="20"/>
      <x:c r="G63" s="20"/>
      <x:c r="H63" s="23"/>
      <x:c r="I63" s="20"/>
      <x:c r="J63" s="20"/>
      <x:c r="K63" s="20"/>
      <x:c r="L63" s="20"/>
      <x:c r="M63" s="20"/>
      <x:c r="N63" s="20"/>
      <x:c r="O63" s="23"/>
      <x:c r="P63" s="20"/>
      <x:c r="Q63" s="20"/>
      <x:c r="R63" s="20"/>
      <x:c r="S63" s="23"/>
      <x:c r="T63" s="20"/>
      <x:c r="U63" s="20"/>
      <x:c r="V63" s="23"/>
      <x:c r="W63" s="23"/>
      <x:c r="X63" s="26" t="str">
        <x:f>IF(A63="","",IF(O63&lt;&gt;"",(O63-H63)*24,(NOW()-H63)*24))</x:f>
      </x:c>
    </x:row>
    <x:row r="64">
      <x:c r="A64" s="20"/>
      <x:c r="B64" s="20"/>
      <x:c r="C64" s="20"/>
      <x:c r="D64" s="20"/>
      <x:c r="E64" s="20"/>
      <x:c r="F64" s="20"/>
      <x:c r="G64" s="20"/>
      <x:c r="H64" s="23"/>
      <x:c r="I64" s="20"/>
      <x:c r="J64" s="20"/>
      <x:c r="K64" s="20"/>
      <x:c r="L64" s="20"/>
      <x:c r="M64" s="20"/>
      <x:c r="N64" s="20"/>
      <x:c r="O64" s="23"/>
      <x:c r="P64" s="20"/>
      <x:c r="Q64" s="20"/>
      <x:c r="R64" s="20"/>
      <x:c r="S64" s="23"/>
      <x:c r="T64" s="20"/>
      <x:c r="U64" s="20"/>
      <x:c r="V64" s="23"/>
      <x:c r="W64" s="23"/>
      <x:c r="X64" s="26" t="str">
        <x:f>IF(A64="","",IF(O64&lt;&gt;"",(O64-H64)*24,(NOW()-H64)*24))</x:f>
      </x:c>
    </x:row>
    <x:row r="65">
      <x:c r="A65" s="20"/>
      <x:c r="B65" s="20"/>
      <x:c r="C65" s="20"/>
      <x:c r="D65" s="20"/>
      <x:c r="E65" s="20"/>
      <x:c r="F65" s="20"/>
      <x:c r="G65" s="20"/>
      <x:c r="H65" s="23"/>
      <x:c r="I65" s="20"/>
      <x:c r="J65" s="20"/>
      <x:c r="K65" s="20"/>
      <x:c r="L65" s="20"/>
      <x:c r="M65" s="20"/>
      <x:c r="N65" s="20"/>
      <x:c r="O65" s="23"/>
      <x:c r="P65" s="20"/>
      <x:c r="Q65" s="20"/>
      <x:c r="R65" s="20"/>
      <x:c r="S65" s="23"/>
      <x:c r="T65" s="20"/>
      <x:c r="U65" s="20"/>
      <x:c r="V65" s="23"/>
      <x:c r="W65" s="23"/>
      <x:c r="X65" s="26" t="str">
        <x:f>IF(A65="","",IF(O65&lt;&gt;"",(O65-H65)*24,(NOW()-H65)*24))</x:f>
      </x:c>
    </x:row>
    <x:row r="66">
      <x:c r="A66" s="20"/>
      <x:c r="B66" s="20"/>
      <x:c r="C66" s="20"/>
      <x:c r="D66" s="20"/>
      <x:c r="E66" s="20"/>
      <x:c r="F66" s="20"/>
      <x:c r="G66" s="20"/>
      <x:c r="H66" s="23"/>
      <x:c r="I66" s="20"/>
      <x:c r="J66" s="20"/>
      <x:c r="K66" s="20"/>
      <x:c r="L66" s="20"/>
      <x:c r="M66" s="20"/>
      <x:c r="N66" s="20"/>
      <x:c r="O66" s="23"/>
      <x:c r="P66" s="20"/>
      <x:c r="Q66" s="20"/>
      <x:c r="R66" s="20"/>
      <x:c r="S66" s="23"/>
      <x:c r="T66" s="20"/>
      <x:c r="U66" s="20"/>
      <x:c r="V66" s="23"/>
      <x:c r="W66" s="23"/>
      <x:c r="X66" s="26" t="str">
        <x:f>IF(A66="","",IF(O66&lt;&gt;"",(O66-H66)*24,(NOW()-H66)*24))</x:f>
      </x:c>
    </x:row>
    <x:row r="67">
      <x:c r="A67" s="20"/>
      <x:c r="B67" s="20"/>
      <x:c r="C67" s="20"/>
      <x:c r="D67" s="20"/>
      <x:c r="E67" s="20"/>
      <x:c r="F67" s="20"/>
      <x:c r="G67" s="20"/>
      <x:c r="H67" s="23"/>
      <x:c r="I67" s="20"/>
      <x:c r="J67" s="20"/>
      <x:c r="K67" s="20"/>
      <x:c r="L67" s="20"/>
      <x:c r="M67" s="20"/>
      <x:c r="N67" s="20"/>
      <x:c r="O67" s="23"/>
      <x:c r="P67" s="20"/>
      <x:c r="Q67" s="20"/>
      <x:c r="R67" s="20"/>
      <x:c r="S67" s="23"/>
      <x:c r="T67" s="20"/>
      <x:c r="U67" s="20"/>
      <x:c r="V67" s="23"/>
      <x:c r="W67" s="23"/>
      <x:c r="X67" s="26" t="str">
        <x:f>IF(A67="","",IF(O67&lt;&gt;"",(O67-H67)*24,(NOW()-H67)*24))</x:f>
      </x:c>
    </x:row>
    <x:row r="68">
      <x:c r="A68" s="20"/>
      <x:c r="B68" s="20"/>
      <x:c r="C68" s="20"/>
      <x:c r="D68" s="20"/>
      <x:c r="E68" s="20"/>
      <x:c r="F68" s="20"/>
      <x:c r="G68" s="20"/>
      <x:c r="H68" s="23"/>
      <x:c r="I68" s="20"/>
      <x:c r="J68" s="20"/>
      <x:c r="K68" s="20"/>
      <x:c r="L68" s="20"/>
      <x:c r="M68" s="20"/>
      <x:c r="N68" s="20"/>
      <x:c r="O68" s="23"/>
      <x:c r="P68" s="20"/>
      <x:c r="Q68" s="20"/>
      <x:c r="R68" s="20"/>
      <x:c r="S68" s="23"/>
      <x:c r="T68" s="20"/>
      <x:c r="U68" s="20"/>
      <x:c r="V68" s="23"/>
      <x:c r="W68" s="23"/>
      <x:c r="X68" s="26" t="str">
        <x:f>IF(A68="","",IF(O68&lt;&gt;"",(O68-H68)*24,(NOW()-H68)*24))</x:f>
      </x:c>
    </x:row>
    <x:row r="69">
      <x:c r="A69" s="20"/>
      <x:c r="B69" s="20"/>
      <x:c r="C69" s="20"/>
      <x:c r="D69" s="20"/>
      <x:c r="E69" s="20"/>
      <x:c r="F69" s="20"/>
      <x:c r="G69" s="20"/>
      <x:c r="H69" s="23"/>
      <x:c r="I69" s="20"/>
      <x:c r="J69" s="20"/>
      <x:c r="K69" s="20"/>
      <x:c r="L69" s="20"/>
      <x:c r="M69" s="20"/>
      <x:c r="N69" s="20"/>
      <x:c r="O69" s="23"/>
      <x:c r="P69" s="20"/>
      <x:c r="Q69" s="20"/>
      <x:c r="R69" s="20"/>
      <x:c r="S69" s="23"/>
      <x:c r="T69" s="20"/>
      <x:c r="U69" s="20"/>
      <x:c r="V69" s="23"/>
      <x:c r="W69" s="23"/>
      <x:c r="X69" s="26" t="str">
        <x:f>IF(A69="","",IF(O69&lt;&gt;"",(O69-H69)*24,(NOW()-H69)*24))</x:f>
      </x:c>
    </x:row>
    <x:row r="70">
      <x:c r="A70" s="20"/>
      <x:c r="B70" s="20"/>
      <x:c r="C70" s="20"/>
      <x:c r="D70" s="20"/>
      <x:c r="E70" s="20"/>
      <x:c r="F70" s="20"/>
      <x:c r="G70" s="20"/>
      <x:c r="H70" s="23"/>
      <x:c r="I70" s="20"/>
      <x:c r="J70" s="20"/>
      <x:c r="K70" s="20"/>
      <x:c r="L70" s="20"/>
      <x:c r="M70" s="20"/>
      <x:c r="N70" s="20"/>
      <x:c r="O70" s="23"/>
      <x:c r="P70" s="20"/>
      <x:c r="Q70" s="20"/>
      <x:c r="R70" s="20"/>
      <x:c r="S70" s="23"/>
      <x:c r="T70" s="20"/>
      <x:c r="U70" s="20"/>
      <x:c r="V70" s="23"/>
      <x:c r="W70" s="23"/>
      <x:c r="X70" s="26" t="str">
        <x:f>IF(A70="","",IF(O70&lt;&gt;"",(O70-H70)*24,(NOW()-H70)*24))</x:f>
      </x:c>
    </x:row>
    <x:row r="71">
      <x:c r="A71" s="20"/>
      <x:c r="B71" s="20"/>
      <x:c r="C71" s="20"/>
      <x:c r="D71" s="20"/>
      <x:c r="E71" s="20"/>
      <x:c r="F71" s="20"/>
      <x:c r="G71" s="20"/>
      <x:c r="H71" s="23"/>
      <x:c r="I71" s="20"/>
      <x:c r="J71" s="20"/>
      <x:c r="K71" s="20"/>
      <x:c r="L71" s="20"/>
      <x:c r="M71" s="20"/>
      <x:c r="N71" s="20"/>
      <x:c r="O71" s="23"/>
      <x:c r="P71" s="20"/>
      <x:c r="Q71" s="20"/>
      <x:c r="R71" s="20"/>
      <x:c r="S71" s="23"/>
      <x:c r="T71" s="20"/>
      <x:c r="U71" s="20"/>
      <x:c r="V71" s="23"/>
      <x:c r="W71" s="23"/>
      <x:c r="X71" s="26" t="str">
        <x:f>IF(A71="","",IF(O71&lt;&gt;"",(O71-H71)*24,(NOW()-H71)*24))</x:f>
      </x:c>
    </x:row>
    <x:row r="72">
      <x:c r="A72" s="20"/>
      <x:c r="B72" s="20"/>
      <x:c r="C72" s="20"/>
      <x:c r="D72" s="20"/>
      <x:c r="E72" s="20"/>
      <x:c r="F72" s="20"/>
      <x:c r="G72" s="20"/>
      <x:c r="H72" s="23"/>
      <x:c r="I72" s="20"/>
      <x:c r="J72" s="20"/>
      <x:c r="K72" s="20"/>
      <x:c r="L72" s="20"/>
      <x:c r="M72" s="20"/>
      <x:c r="N72" s="20"/>
      <x:c r="O72" s="23"/>
      <x:c r="P72" s="20"/>
      <x:c r="Q72" s="20"/>
      <x:c r="R72" s="20"/>
      <x:c r="S72" s="23"/>
      <x:c r="T72" s="20"/>
      <x:c r="U72" s="20"/>
      <x:c r="V72" s="23"/>
      <x:c r="W72" s="23"/>
      <x:c r="X72" s="26" t="str">
        <x:f>IF(A72="","",IF(O72&lt;&gt;"",(O72-H72)*24,(NOW()-H72)*24))</x:f>
      </x:c>
    </x:row>
    <x:row r="73">
      <x:c r="A73" s="20"/>
      <x:c r="B73" s="20"/>
      <x:c r="C73" s="20"/>
      <x:c r="D73" s="20"/>
      <x:c r="E73" s="20"/>
      <x:c r="F73" s="20"/>
      <x:c r="G73" s="20"/>
      <x:c r="H73" s="23"/>
      <x:c r="I73" s="20"/>
      <x:c r="J73" s="20"/>
      <x:c r="K73" s="20"/>
      <x:c r="L73" s="20"/>
      <x:c r="M73" s="20"/>
      <x:c r="N73" s="20"/>
      <x:c r="O73" s="23"/>
      <x:c r="P73" s="20"/>
      <x:c r="Q73" s="20"/>
      <x:c r="R73" s="20"/>
      <x:c r="S73" s="23"/>
      <x:c r="T73" s="20"/>
      <x:c r="U73" s="20"/>
      <x:c r="V73" s="23"/>
      <x:c r="W73" s="23"/>
      <x:c r="X73" s="26" t="str">
        <x:f>IF(A73="","",IF(O73&lt;&gt;"",(O73-H73)*24,(NOW()-H73)*24))</x:f>
      </x:c>
    </x:row>
    <x:row r="74">
      <x:c r="A74" s="20"/>
      <x:c r="B74" s="20"/>
      <x:c r="C74" s="20"/>
      <x:c r="D74" s="20"/>
      <x:c r="E74" s="20"/>
      <x:c r="F74" s="20"/>
      <x:c r="G74" s="20"/>
      <x:c r="H74" s="23"/>
      <x:c r="I74" s="20"/>
      <x:c r="J74" s="20"/>
      <x:c r="K74" s="20"/>
      <x:c r="L74" s="20"/>
      <x:c r="M74" s="20"/>
      <x:c r="N74" s="20"/>
      <x:c r="O74" s="23"/>
      <x:c r="P74" s="20"/>
      <x:c r="Q74" s="20"/>
      <x:c r="R74" s="20"/>
      <x:c r="S74" s="23"/>
      <x:c r="T74" s="20"/>
      <x:c r="U74" s="20"/>
      <x:c r="V74" s="23"/>
      <x:c r="W74" s="23"/>
      <x:c r="X74" s="26" t="str">
        <x:f>IF(A74="","",IF(O74&lt;&gt;"",(O74-H74)*24,(NOW()-H74)*24))</x:f>
      </x:c>
    </x:row>
    <x:row r="75">
      <x:c r="A75" s="20"/>
      <x:c r="B75" s="20"/>
      <x:c r="C75" s="20"/>
      <x:c r="D75" s="20"/>
      <x:c r="E75" s="20"/>
      <x:c r="F75" s="20"/>
      <x:c r="G75" s="20"/>
      <x:c r="H75" s="23"/>
      <x:c r="I75" s="20"/>
      <x:c r="J75" s="20"/>
      <x:c r="K75" s="20"/>
      <x:c r="L75" s="20"/>
      <x:c r="M75" s="20"/>
      <x:c r="N75" s="20"/>
      <x:c r="O75" s="23"/>
      <x:c r="P75" s="20"/>
      <x:c r="Q75" s="20"/>
      <x:c r="R75" s="20"/>
      <x:c r="S75" s="23"/>
      <x:c r="T75" s="20"/>
      <x:c r="U75" s="20"/>
      <x:c r="V75" s="23"/>
      <x:c r="W75" s="23"/>
      <x:c r="X75" s="26" t="str">
        <x:f>IF(A75="","",IF(O75&lt;&gt;"",(O75-H75)*24,(NOW()-H75)*24))</x:f>
      </x:c>
    </x:row>
    <x:row r="76">
      <x:c r="A76" s="20"/>
      <x:c r="B76" s="20"/>
      <x:c r="C76" s="20"/>
      <x:c r="D76" s="20"/>
      <x:c r="E76" s="20"/>
      <x:c r="F76" s="20"/>
      <x:c r="G76" s="20"/>
      <x:c r="H76" s="23"/>
      <x:c r="I76" s="20"/>
      <x:c r="J76" s="20"/>
      <x:c r="K76" s="20"/>
      <x:c r="L76" s="20"/>
      <x:c r="M76" s="20"/>
      <x:c r="N76" s="20"/>
      <x:c r="O76" s="23"/>
      <x:c r="P76" s="20"/>
      <x:c r="Q76" s="20"/>
      <x:c r="R76" s="20"/>
      <x:c r="S76" s="23"/>
      <x:c r="T76" s="20"/>
      <x:c r="U76" s="20"/>
      <x:c r="V76" s="23"/>
      <x:c r="W76" s="23"/>
      <x:c r="X76" s="26" t="str">
        <x:f>IF(A76="","",IF(O76&lt;&gt;"",(O76-H76)*24,(NOW()-H76)*24))</x:f>
      </x:c>
    </x:row>
    <x:row r="77">
      <x:c r="A77" s="20"/>
      <x:c r="B77" s="20"/>
      <x:c r="C77" s="20"/>
      <x:c r="D77" s="20"/>
      <x:c r="E77" s="20"/>
      <x:c r="F77" s="20"/>
      <x:c r="G77" s="20"/>
      <x:c r="H77" s="23"/>
      <x:c r="I77" s="20"/>
      <x:c r="J77" s="20"/>
      <x:c r="K77" s="20"/>
      <x:c r="L77" s="20"/>
      <x:c r="M77" s="20"/>
      <x:c r="N77" s="20"/>
      <x:c r="O77" s="23"/>
      <x:c r="P77" s="20"/>
      <x:c r="Q77" s="20"/>
      <x:c r="R77" s="20"/>
      <x:c r="S77" s="23"/>
      <x:c r="T77" s="20"/>
      <x:c r="U77" s="20"/>
      <x:c r="V77" s="23"/>
      <x:c r="W77" s="23"/>
      <x:c r="X77" s="26" t="str">
        <x:f>IF(A77="","",IF(O77&lt;&gt;"",(O77-H77)*24,(NOW()-H77)*24))</x:f>
      </x:c>
    </x:row>
    <x:row r="78">
      <x:c r="A78" s="20"/>
      <x:c r="B78" s="20"/>
      <x:c r="C78" s="20"/>
      <x:c r="D78" s="20"/>
      <x:c r="E78" s="20"/>
      <x:c r="F78" s="20"/>
      <x:c r="G78" s="20"/>
      <x:c r="H78" s="23"/>
      <x:c r="I78" s="20"/>
      <x:c r="J78" s="20"/>
      <x:c r="K78" s="20"/>
      <x:c r="L78" s="20"/>
      <x:c r="M78" s="20"/>
      <x:c r="N78" s="20"/>
      <x:c r="O78" s="23"/>
      <x:c r="P78" s="20"/>
      <x:c r="Q78" s="20"/>
      <x:c r="R78" s="20"/>
      <x:c r="S78" s="23"/>
      <x:c r="T78" s="20"/>
      <x:c r="U78" s="20"/>
      <x:c r="V78" s="23"/>
      <x:c r="W78" s="23"/>
      <x:c r="X78" s="26" t="str">
        <x:f>IF(A78="","",IF(O78&lt;&gt;"",(O78-H78)*24,(NOW()-H78)*24))</x:f>
      </x:c>
    </x:row>
    <x:row r="79">
      <x:c r="A79" s="20"/>
      <x:c r="B79" s="20"/>
      <x:c r="C79" s="20"/>
      <x:c r="D79" s="20"/>
      <x:c r="E79" s="20"/>
      <x:c r="F79" s="20"/>
      <x:c r="G79" s="20"/>
      <x:c r="H79" s="23"/>
      <x:c r="I79" s="20"/>
      <x:c r="J79" s="20"/>
      <x:c r="K79" s="20"/>
      <x:c r="L79" s="20"/>
      <x:c r="M79" s="20"/>
      <x:c r="N79" s="20"/>
      <x:c r="O79" s="23"/>
      <x:c r="P79" s="20"/>
      <x:c r="Q79" s="20"/>
      <x:c r="R79" s="20"/>
      <x:c r="S79" s="23"/>
      <x:c r="T79" s="20"/>
      <x:c r="U79" s="20"/>
      <x:c r="V79" s="23"/>
      <x:c r="W79" s="23"/>
      <x:c r="X79" s="26" t="str">
        <x:f>IF(A79="","",IF(O79&lt;&gt;"",(O79-H79)*24,(NOW()-H79)*24))</x:f>
      </x:c>
    </x:row>
    <x:row r="80">
      <x:c r="A80" s="20"/>
      <x:c r="B80" s="20"/>
      <x:c r="C80" s="20"/>
      <x:c r="D80" s="20"/>
      <x:c r="E80" s="20"/>
      <x:c r="F80" s="20"/>
      <x:c r="G80" s="20"/>
      <x:c r="H80" s="23"/>
      <x:c r="I80" s="20"/>
      <x:c r="J80" s="20"/>
      <x:c r="K80" s="20"/>
      <x:c r="L80" s="20"/>
      <x:c r="M80" s="20"/>
      <x:c r="N80" s="20"/>
      <x:c r="O80" s="23"/>
      <x:c r="P80" s="20"/>
      <x:c r="Q80" s="20"/>
      <x:c r="R80" s="20"/>
      <x:c r="S80" s="23"/>
      <x:c r="T80" s="20"/>
      <x:c r="U80" s="20"/>
      <x:c r="V80" s="23"/>
      <x:c r="W80" s="23"/>
      <x:c r="X80" s="26" t="str">
        <x:f>IF(A80="","",IF(O80&lt;&gt;"",(O80-H80)*24,(NOW()-H80)*24))</x:f>
      </x:c>
    </x:row>
    <x:row r="81">
      <x:c r="A81" s="20"/>
      <x:c r="B81" s="20"/>
      <x:c r="C81" s="20"/>
      <x:c r="D81" s="20"/>
      <x:c r="E81" s="20"/>
      <x:c r="F81" s="20"/>
      <x:c r="G81" s="20"/>
      <x:c r="H81" s="23"/>
      <x:c r="I81" s="20"/>
      <x:c r="J81" s="20"/>
      <x:c r="K81" s="20"/>
      <x:c r="L81" s="20"/>
      <x:c r="M81" s="20"/>
      <x:c r="N81" s="20"/>
      <x:c r="O81" s="23"/>
      <x:c r="P81" s="20"/>
      <x:c r="Q81" s="20"/>
      <x:c r="R81" s="20"/>
      <x:c r="S81" s="23"/>
      <x:c r="T81" s="20"/>
      <x:c r="U81" s="20"/>
      <x:c r="V81" s="23"/>
      <x:c r="W81" s="23"/>
      <x:c r="X81" s="26" t="str">
        <x:f>IF(A81="","",IF(O81&lt;&gt;"",(O81-H81)*24,(NOW()-H81)*24))</x:f>
      </x:c>
    </x:row>
    <x:row r="82">
      <x:c r="A82" s="20"/>
      <x:c r="B82" s="20"/>
      <x:c r="C82" s="20"/>
      <x:c r="D82" s="20"/>
      <x:c r="E82" s="20"/>
      <x:c r="F82" s="20"/>
      <x:c r="G82" s="20"/>
      <x:c r="H82" s="23"/>
      <x:c r="I82" s="20"/>
      <x:c r="J82" s="20"/>
      <x:c r="K82" s="20"/>
      <x:c r="L82" s="20"/>
      <x:c r="M82" s="20"/>
      <x:c r="N82" s="20"/>
      <x:c r="O82" s="23"/>
      <x:c r="P82" s="20"/>
      <x:c r="Q82" s="20"/>
      <x:c r="R82" s="20"/>
      <x:c r="S82" s="23"/>
      <x:c r="T82" s="20"/>
      <x:c r="U82" s="20"/>
      <x:c r="V82" s="23"/>
      <x:c r="W82" s="23"/>
      <x:c r="X82" s="26" t="str">
        <x:f>IF(A82="","",IF(O82&lt;&gt;"",(O82-H82)*24,(NOW()-H82)*24))</x:f>
      </x:c>
    </x:row>
    <x:row r="83">
      <x:c r="A83" s="20"/>
      <x:c r="B83" s="20"/>
      <x:c r="C83" s="20"/>
      <x:c r="D83" s="20"/>
      <x:c r="E83" s="20"/>
      <x:c r="F83" s="20"/>
      <x:c r="G83" s="20"/>
      <x:c r="H83" s="23"/>
      <x:c r="I83" s="20"/>
      <x:c r="J83" s="20"/>
      <x:c r="K83" s="20"/>
      <x:c r="L83" s="20"/>
      <x:c r="M83" s="20"/>
      <x:c r="N83" s="20"/>
      <x:c r="O83" s="23"/>
      <x:c r="P83" s="20"/>
      <x:c r="Q83" s="20"/>
      <x:c r="R83" s="20"/>
      <x:c r="S83" s="23"/>
      <x:c r="T83" s="20"/>
      <x:c r="U83" s="20"/>
      <x:c r="V83" s="23"/>
      <x:c r="W83" s="23"/>
      <x:c r="X83" s="26" t="str">
        <x:f>IF(A83="","",IF(O83&lt;&gt;"",(O83-H83)*24,(NOW()-H83)*24))</x:f>
      </x:c>
    </x:row>
    <x:row r="84">
      <x:c r="A84" s="20"/>
      <x:c r="B84" s="20"/>
      <x:c r="C84" s="20"/>
      <x:c r="D84" s="20"/>
      <x:c r="E84" s="20"/>
      <x:c r="F84" s="20"/>
      <x:c r="G84" s="20"/>
      <x:c r="H84" s="23"/>
      <x:c r="I84" s="20"/>
      <x:c r="J84" s="20"/>
      <x:c r="K84" s="20"/>
      <x:c r="L84" s="20"/>
      <x:c r="M84" s="20"/>
      <x:c r="N84" s="20"/>
      <x:c r="O84" s="23"/>
      <x:c r="P84" s="20"/>
      <x:c r="Q84" s="20"/>
      <x:c r="R84" s="20"/>
      <x:c r="S84" s="23"/>
      <x:c r="T84" s="20"/>
      <x:c r="U84" s="20"/>
      <x:c r="V84" s="23"/>
      <x:c r="W84" s="23"/>
      <x:c r="X84" s="26" t="str">
        <x:f>IF(A84="","",IF(O84&lt;&gt;"",(O84-H84)*24,(NOW()-H84)*24))</x:f>
      </x:c>
    </x:row>
    <x:row r="85">
      <x:c r="A85" s="20"/>
      <x:c r="B85" s="20"/>
      <x:c r="C85" s="20"/>
      <x:c r="D85" s="20"/>
      <x:c r="E85" s="20"/>
      <x:c r="F85" s="20"/>
      <x:c r="G85" s="20"/>
      <x:c r="H85" s="23"/>
      <x:c r="I85" s="20"/>
      <x:c r="J85" s="20"/>
      <x:c r="K85" s="20"/>
      <x:c r="L85" s="20"/>
      <x:c r="M85" s="20"/>
      <x:c r="N85" s="20"/>
      <x:c r="O85" s="23"/>
      <x:c r="P85" s="20"/>
      <x:c r="Q85" s="20"/>
      <x:c r="R85" s="20"/>
      <x:c r="S85" s="23"/>
      <x:c r="T85" s="20"/>
      <x:c r="U85" s="20"/>
      <x:c r="V85" s="23"/>
      <x:c r="W85" s="23"/>
      <x:c r="X85" s="26" t="str">
        <x:f>IF(A85="","",IF(O85&lt;&gt;"",(O85-H85)*24,(NOW()-H85)*24))</x:f>
      </x:c>
    </x:row>
    <x:row r="86">
      <x:c r="A86" s="20"/>
      <x:c r="B86" s="20"/>
      <x:c r="C86" s="20"/>
      <x:c r="D86" s="20"/>
      <x:c r="E86" s="20"/>
      <x:c r="F86" s="20"/>
      <x:c r="G86" s="20"/>
      <x:c r="H86" s="23"/>
      <x:c r="I86" s="20"/>
      <x:c r="J86" s="20"/>
      <x:c r="K86" s="20"/>
      <x:c r="L86" s="20"/>
      <x:c r="M86" s="20"/>
      <x:c r="N86" s="20"/>
      <x:c r="O86" s="23"/>
      <x:c r="P86" s="20"/>
      <x:c r="Q86" s="20"/>
      <x:c r="R86" s="20"/>
      <x:c r="S86" s="23"/>
      <x:c r="T86" s="20"/>
      <x:c r="U86" s="20"/>
      <x:c r="V86" s="23"/>
      <x:c r="W86" s="23"/>
      <x:c r="X86" s="26" t="str">
        <x:f>IF(A86="","",IF(O86&lt;&gt;"",(O86-H86)*24,(NOW()-H86)*24))</x:f>
      </x:c>
    </x:row>
    <x:row r="87">
      <x:c r="A87" s="20"/>
      <x:c r="B87" s="20"/>
      <x:c r="C87" s="20"/>
      <x:c r="D87" s="20"/>
      <x:c r="E87" s="20"/>
      <x:c r="F87" s="20"/>
      <x:c r="G87" s="20"/>
      <x:c r="H87" s="23"/>
      <x:c r="I87" s="20"/>
      <x:c r="J87" s="20"/>
      <x:c r="K87" s="20"/>
      <x:c r="L87" s="20"/>
      <x:c r="M87" s="20"/>
      <x:c r="N87" s="20"/>
      <x:c r="O87" s="23"/>
      <x:c r="P87" s="20"/>
      <x:c r="Q87" s="20"/>
      <x:c r="R87" s="20"/>
      <x:c r="S87" s="23"/>
      <x:c r="T87" s="20"/>
      <x:c r="U87" s="20"/>
      <x:c r="V87" s="23"/>
      <x:c r="W87" s="23"/>
      <x:c r="X87" s="26" t="str">
        <x:f>IF(A87="","",IF(O87&lt;&gt;"",(O87-H87)*24,(NOW()-H87)*24))</x:f>
      </x:c>
    </x:row>
    <x:row r="88">
      <x:c r="A88" s="20"/>
      <x:c r="B88" s="20"/>
      <x:c r="C88" s="20"/>
      <x:c r="D88" s="20"/>
      <x:c r="E88" s="20"/>
      <x:c r="F88" s="20"/>
      <x:c r="G88" s="20"/>
      <x:c r="H88" s="23"/>
      <x:c r="I88" s="20"/>
      <x:c r="J88" s="20"/>
      <x:c r="K88" s="20"/>
      <x:c r="L88" s="20"/>
      <x:c r="M88" s="20"/>
      <x:c r="N88" s="20"/>
      <x:c r="O88" s="23"/>
      <x:c r="P88" s="20"/>
      <x:c r="Q88" s="20"/>
      <x:c r="R88" s="20"/>
      <x:c r="S88" s="23"/>
      <x:c r="T88" s="20"/>
      <x:c r="U88" s="20"/>
      <x:c r="V88" s="23"/>
      <x:c r="W88" s="23"/>
      <x:c r="X88" s="26" t="str">
        <x:f>IF(A88="","",IF(O88&lt;&gt;"",(O88-H88)*24,(NOW()-H88)*24))</x:f>
      </x:c>
    </x:row>
    <x:row r="89">
      <x:c r="A89" s="20"/>
      <x:c r="B89" s="20"/>
      <x:c r="C89" s="20"/>
      <x:c r="D89" s="20"/>
      <x:c r="E89" s="20"/>
      <x:c r="F89" s="20"/>
      <x:c r="G89" s="20"/>
      <x:c r="H89" s="23"/>
      <x:c r="I89" s="20"/>
      <x:c r="J89" s="20"/>
      <x:c r="K89" s="20"/>
      <x:c r="L89" s="20"/>
      <x:c r="M89" s="20"/>
      <x:c r="N89" s="20"/>
      <x:c r="O89" s="23"/>
      <x:c r="P89" s="20"/>
      <x:c r="Q89" s="20"/>
      <x:c r="R89" s="20"/>
      <x:c r="S89" s="23"/>
      <x:c r="T89" s="20"/>
      <x:c r="U89" s="20"/>
      <x:c r="V89" s="23"/>
      <x:c r="W89" s="23"/>
      <x:c r="X89" s="26" t="str">
        <x:f>IF(A89="","",IF(O89&lt;&gt;"",(O89-H89)*24,(NOW()-H89)*24))</x:f>
      </x:c>
    </x:row>
    <x:row r="90">
      <x:c r="A90" s="20"/>
      <x:c r="B90" s="20"/>
      <x:c r="C90" s="20"/>
      <x:c r="D90" s="20"/>
      <x:c r="E90" s="20"/>
      <x:c r="F90" s="20"/>
      <x:c r="G90" s="20"/>
      <x:c r="H90" s="23"/>
      <x:c r="I90" s="20"/>
      <x:c r="J90" s="20"/>
      <x:c r="K90" s="20"/>
      <x:c r="L90" s="20"/>
      <x:c r="M90" s="20"/>
      <x:c r="N90" s="20"/>
      <x:c r="O90" s="23"/>
      <x:c r="P90" s="20"/>
      <x:c r="Q90" s="20"/>
      <x:c r="R90" s="20"/>
      <x:c r="S90" s="23"/>
      <x:c r="T90" s="20"/>
      <x:c r="U90" s="20"/>
      <x:c r="V90" s="23"/>
      <x:c r="W90" s="23"/>
      <x:c r="X90" s="26" t="str">
        <x:f>IF(A90="","",IF(O90&lt;&gt;"",(O90-H90)*24,(NOW()-H90)*24))</x:f>
      </x:c>
    </x:row>
    <x:row r="91">
      <x:c r="A91" s="20"/>
      <x:c r="B91" s="20"/>
      <x:c r="C91" s="20"/>
      <x:c r="D91" s="20"/>
      <x:c r="E91" s="20"/>
      <x:c r="F91" s="20"/>
      <x:c r="G91" s="20"/>
      <x:c r="H91" s="23"/>
      <x:c r="I91" s="20"/>
      <x:c r="J91" s="20"/>
      <x:c r="K91" s="20"/>
      <x:c r="L91" s="20"/>
      <x:c r="M91" s="20"/>
      <x:c r="N91" s="20"/>
      <x:c r="O91" s="23"/>
      <x:c r="P91" s="20"/>
      <x:c r="Q91" s="20"/>
      <x:c r="R91" s="20"/>
      <x:c r="S91" s="23"/>
      <x:c r="T91" s="20"/>
      <x:c r="U91" s="20"/>
      <x:c r="V91" s="23"/>
      <x:c r="W91" s="23"/>
      <x:c r="X91" s="26" t="str">
        <x:f>IF(A91="","",IF(O91&lt;&gt;"",(O91-H91)*24,(NOW()-H91)*24))</x:f>
      </x:c>
    </x:row>
    <x:row r="92">
      <x:c r="A92" s="20"/>
      <x:c r="B92" s="20"/>
      <x:c r="C92" s="20"/>
      <x:c r="D92" s="20"/>
      <x:c r="E92" s="20"/>
      <x:c r="F92" s="20"/>
      <x:c r="G92" s="20"/>
      <x:c r="H92" s="23"/>
      <x:c r="I92" s="20"/>
      <x:c r="J92" s="20"/>
      <x:c r="K92" s="20"/>
      <x:c r="L92" s="20"/>
      <x:c r="M92" s="20"/>
      <x:c r="N92" s="20"/>
      <x:c r="O92" s="23"/>
      <x:c r="P92" s="20"/>
      <x:c r="Q92" s="20"/>
      <x:c r="R92" s="20"/>
      <x:c r="S92" s="23"/>
      <x:c r="T92" s="20"/>
      <x:c r="U92" s="20"/>
      <x:c r="V92" s="23"/>
      <x:c r="W92" s="23"/>
      <x:c r="X92" s="26" t="str">
        <x:f>IF(A92="","",IF(O92&lt;&gt;"",(O92-H92)*24,(NOW()-H92)*24))</x:f>
      </x:c>
    </x:row>
    <x:row r="93">
      <x:c r="A93" s="20"/>
      <x:c r="B93" s="20"/>
      <x:c r="C93" s="20"/>
      <x:c r="D93" s="20"/>
      <x:c r="E93" s="20"/>
      <x:c r="F93" s="20"/>
      <x:c r="G93" s="20"/>
      <x:c r="H93" s="23"/>
      <x:c r="I93" s="20"/>
      <x:c r="J93" s="20"/>
      <x:c r="K93" s="20"/>
      <x:c r="L93" s="20"/>
      <x:c r="M93" s="20"/>
      <x:c r="N93" s="20"/>
      <x:c r="O93" s="23"/>
      <x:c r="P93" s="20"/>
      <x:c r="Q93" s="20"/>
      <x:c r="R93" s="20"/>
      <x:c r="S93" s="23"/>
      <x:c r="T93" s="20"/>
      <x:c r="U93" s="20"/>
      <x:c r="V93" s="23"/>
      <x:c r="W93" s="23"/>
      <x:c r="X93" s="26" t="str">
        <x:f>IF(A93="","",IF(O93&lt;&gt;"",(O93-H93)*24,(NOW()-H93)*24))</x:f>
      </x:c>
    </x:row>
    <x:row r="94">
      <x:c r="A94" s="20"/>
      <x:c r="B94" s="20"/>
      <x:c r="C94" s="20"/>
      <x:c r="D94" s="20"/>
      <x:c r="E94" s="20"/>
      <x:c r="F94" s="20"/>
      <x:c r="G94" s="20"/>
      <x:c r="H94" s="23"/>
      <x:c r="I94" s="20"/>
      <x:c r="J94" s="20"/>
      <x:c r="K94" s="20"/>
      <x:c r="L94" s="20"/>
      <x:c r="M94" s="20"/>
      <x:c r="N94" s="20"/>
      <x:c r="O94" s="23"/>
      <x:c r="P94" s="20"/>
      <x:c r="Q94" s="20"/>
      <x:c r="R94" s="20"/>
      <x:c r="S94" s="23"/>
      <x:c r="T94" s="20"/>
      <x:c r="U94" s="20"/>
      <x:c r="V94" s="23"/>
      <x:c r="W94" s="23"/>
      <x:c r="X94" s="26" t="str">
        <x:f>IF(A94="","",IF(O94&lt;&gt;"",(O94-H94)*24,(NOW()-H94)*24))</x:f>
      </x:c>
    </x:row>
    <x:row r="95">
      <x:c r="A95" s="20"/>
      <x:c r="B95" s="20"/>
      <x:c r="C95" s="20"/>
      <x:c r="D95" s="20"/>
      <x:c r="E95" s="20"/>
      <x:c r="F95" s="20"/>
      <x:c r="G95" s="20"/>
      <x:c r="H95" s="23"/>
      <x:c r="I95" s="20"/>
      <x:c r="J95" s="20"/>
      <x:c r="K95" s="20"/>
      <x:c r="L95" s="20"/>
      <x:c r="M95" s="20"/>
      <x:c r="N95" s="20"/>
      <x:c r="O95" s="23"/>
      <x:c r="P95" s="20"/>
      <x:c r="Q95" s="20"/>
      <x:c r="R95" s="20"/>
      <x:c r="S95" s="23"/>
      <x:c r="T95" s="20"/>
      <x:c r="U95" s="20"/>
      <x:c r="V95" s="23"/>
      <x:c r="W95" s="23"/>
      <x:c r="X95" s="26" t="str">
        <x:f>IF(A95="","",IF(O95&lt;&gt;"",(O95-H95)*24,(NOW()-H95)*24))</x:f>
      </x:c>
    </x:row>
    <x:row r="96">
      <x:c r="A96" s="20"/>
      <x:c r="B96" s="20"/>
      <x:c r="C96" s="20"/>
      <x:c r="D96" s="20"/>
      <x:c r="E96" s="20"/>
      <x:c r="F96" s="20"/>
      <x:c r="G96" s="20"/>
      <x:c r="H96" s="23"/>
      <x:c r="I96" s="20"/>
      <x:c r="J96" s="20"/>
      <x:c r="K96" s="20"/>
      <x:c r="L96" s="20"/>
      <x:c r="M96" s="20"/>
      <x:c r="N96" s="20"/>
      <x:c r="O96" s="23"/>
      <x:c r="P96" s="20"/>
      <x:c r="Q96" s="20"/>
      <x:c r="R96" s="20"/>
      <x:c r="S96" s="23"/>
      <x:c r="T96" s="20"/>
      <x:c r="U96" s="20"/>
      <x:c r="V96" s="23"/>
      <x:c r="W96" s="23"/>
      <x:c r="X96" s="26" t="str">
        <x:f>IF(A96="","",IF(O96&lt;&gt;"",(O96-H96)*24,(NOW()-H96)*24))</x:f>
      </x:c>
    </x:row>
    <x:row r="97">
      <x:c r="A97" s="20"/>
      <x:c r="B97" s="20"/>
      <x:c r="C97" s="20"/>
      <x:c r="D97" s="20"/>
      <x:c r="E97" s="20"/>
      <x:c r="F97" s="20"/>
      <x:c r="G97" s="20"/>
      <x:c r="H97" s="23"/>
      <x:c r="I97" s="20"/>
      <x:c r="J97" s="20"/>
      <x:c r="K97" s="20"/>
      <x:c r="L97" s="20"/>
      <x:c r="M97" s="20"/>
      <x:c r="N97" s="20"/>
      <x:c r="O97" s="23"/>
      <x:c r="P97" s="20"/>
      <x:c r="Q97" s="20"/>
      <x:c r="R97" s="20"/>
      <x:c r="S97" s="23"/>
      <x:c r="T97" s="20"/>
      <x:c r="U97" s="20"/>
      <x:c r="V97" s="23"/>
      <x:c r="W97" s="23"/>
      <x:c r="X97" s="26" t="str">
        <x:f>IF(A97="","",IF(O97&lt;&gt;"",(O97-H97)*24,(NOW()-H97)*24))</x:f>
      </x:c>
    </x:row>
    <x:row r="98">
      <x:c r="A98" s="20"/>
      <x:c r="B98" s="20"/>
      <x:c r="C98" s="20"/>
      <x:c r="D98" s="20"/>
      <x:c r="E98" s="20"/>
      <x:c r="F98" s="20"/>
      <x:c r="G98" s="20"/>
      <x:c r="H98" s="23"/>
      <x:c r="I98" s="20"/>
      <x:c r="J98" s="20"/>
      <x:c r="K98" s="20"/>
      <x:c r="L98" s="20"/>
      <x:c r="M98" s="20"/>
      <x:c r="N98" s="20"/>
      <x:c r="O98" s="23"/>
      <x:c r="P98" s="20"/>
      <x:c r="Q98" s="20"/>
      <x:c r="R98" s="20"/>
      <x:c r="S98" s="23"/>
      <x:c r="T98" s="20"/>
      <x:c r="U98" s="20"/>
      <x:c r="V98" s="23"/>
      <x:c r="W98" s="23"/>
      <x:c r="X98" s="26" t="str">
        <x:f>IF(A98="","",IF(O98&lt;&gt;"",(O98-H98)*24,(NOW()-H98)*24))</x:f>
      </x:c>
    </x:row>
    <x:row r="99">
      <x:c r="A99" s="20"/>
      <x:c r="B99" s="20"/>
      <x:c r="C99" s="20"/>
      <x:c r="D99" s="20"/>
      <x:c r="E99" s="20"/>
      <x:c r="F99" s="20"/>
      <x:c r="G99" s="20"/>
      <x:c r="H99" s="23"/>
      <x:c r="I99" s="20"/>
      <x:c r="J99" s="20"/>
      <x:c r="K99" s="20"/>
      <x:c r="L99" s="20"/>
      <x:c r="M99" s="20"/>
      <x:c r="N99" s="20"/>
      <x:c r="O99" s="23"/>
      <x:c r="P99" s="20"/>
      <x:c r="Q99" s="20"/>
      <x:c r="R99" s="20"/>
      <x:c r="S99" s="23"/>
      <x:c r="T99" s="20"/>
      <x:c r="U99" s="20"/>
      <x:c r="V99" s="23"/>
      <x:c r="W99" s="23"/>
      <x:c r="X99" s="26" t="str">
        <x:f>IF(A99="","",IF(O99&lt;&gt;"",(O99-H99)*24,(NOW()-H99)*24))</x:f>
      </x:c>
    </x:row>
    <x:row r="100">
      <x:c r="A100" s="20"/>
      <x:c r="B100" s="20"/>
      <x:c r="C100" s="20"/>
      <x:c r="D100" s="20"/>
      <x:c r="E100" s="20"/>
      <x:c r="F100" s="20"/>
      <x:c r="G100" s="20"/>
      <x:c r="H100" s="23"/>
      <x:c r="I100" s="20"/>
      <x:c r="J100" s="20"/>
      <x:c r="K100" s="20"/>
      <x:c r="L100" s="20"/>
      <x:c r="M100" s="20"/>
      <x:c r="N100" s="20"/>
      <x:c r="O100" s="23"/>
      <x:c r="P100" s="20"/>
      <x:c r="Q100" s="20"/>
      <x:c r="R100" s="20"/>
      <x:c r="S100" s="23"/>
      <x:c r="T100" s="20"/>
      <x:c r="U100" s="20"/>
      <x:c r="V100" s="23"/>
      <x:c r="W100" s="23"/>
      <x:c r="X100" s="26" t="str">
        <x:f>IF(A100="","",IF(O100&lt;&gt;"",(O100-H100)*24,(NOW()-H100)*24))</x:f>
      </x:c>
    </x:row>
    <x:row r="101">
      <x:c r="A101" s="20"/>
      <x:c r="B101" s="20"/>
      <x:c r="C101" s="20"/>
      <x:c r="D101" s="20"/>
      <x:c r="E101" s="20"/>
      <x:c r="F101" s="20"/>
      <x:c r="G101" s="20"/>
      <x:c r="H101" s="23"/>
      <x:c r="I101" s="20"/>
      <x:c r="J101" s="20"/>
      <x:c r="K101" s="20"/>
      <x:c r="L101" s="20"/>
      <x:c r="M101" s="20"/>
      <x:c r="N101" s="20"/>
      <x:c r="O101" s="23"/>
      <x:c r="P101" s="20"/>
      <x:c r="Q101" s="20"/>
      <x:c r="R101" s="20"/>
      <x:c r="S101" s="23"/>
      <x:c r="T101" s="20"/>
      <x:c r="U101" s="20"/>
      <x:c r="V101" s="23"/>
      <x:c r="W101" s="23"/>
      <x:c r="X101" s="26" t="str">
        <x:f>IF(A101="","",IF(O101&lt;&gt;"",(O101-H101)*24,(NOW()-H101)*24))</x:f>
      </x:c>
    </x:row>
    <x:row r="102">
      <x:c r="A102" s="20"/>
      <x:c r="B102" s="20"/>
      <x:c r="C102" s="20"/>
      <x:c r="D102" s="20"/>
      <x:c r="E102" s="20"/>
      <x:c r="F102" s="20"/>
      <x:c r="G102" s="20"/>
      <x:c r="H102" s="23"/>
      <x:c r="I102" s="20"/>
      <x:c r="J102" s="20"/>
      <x:c r="K102" s="20"/>
      <x:c r="L102" s="20"/>
      <x:c r="M102" s="20"/>
      <x:c r="N102" s="20"/>
      <x:c r="O102" s="23"/>
      <x:c r="P102" s="20"/>
      <x:c r="Q102" s="20"/>
      <x:c r="R102" s="20"/>
      <x:c r="S102" s="23"/>
      <x:c r="T102" s="20"/>
      <x:c r="U102" s="20"/>
      <x:c r="V102" s="23"/>
      <x:c r="W102" s="23"/>
      <x:c r="X102" s="26" t="str">
        <x:f>IF(A102="","",IF(O102&lt;&gt;"",(O102-H102)*24,(NOW()-H102)*24))</x:f>
      </x:c>
    </x:row>
    <x:row r="103">
      <x:c r="A103" s="20"/>
      <x:c r="B103" s="20"/>
      <x:c r="C103" s="20"/>
      <x:c r="D103" s="20"/>
      <x:c r="E103" s="20"/>
      <x:c r="F103" s="20"/>
      <x:c r="G103" s="20"/>
      <x:c r="H103" s="23"/>
      <x:c r="I103" s="20"/>
      <x:c r="J103" s="20"/>
      <x:c r="K103" s="20"/>
      <x:c r="L103" s="20"/>
      <x:c r="M103" s="20"/>
      <x:c r="N103" s="20"/>
      <x:c r="O103" s="23"/>
      <x:c r="P103" s="20"/>
      <x:c r="Q103" s="20"/>
      <x:c r="R103" s="20"/>
      <x:c r="S103" s="23"/>
      <x:c r="T103" s="20"/>
      <x:c r="U103" s="20"/>
      <x:c r="V103" s="23"/>
      <x:c r="W103" s="23"/>
      <x:c r="X103" s="26" t="str">
        <x:f>IF(A103="","",IF(O103&lt;&gt;"",(O103-H103)*24,(NOW()-H103)*24))</x:f>
      </x:c>
    </x:row>
    <x:row r="104">
      <x:c r="A104" s="20"/>
      <x:c r="B104" s="20"/>
      <x:c r="C104" s="20"/>
      <x:c r="D104" s="20"/>
      <x:c r="E104" s="20"/>
      <x:c r="F104" s="20"/>
      <x:c r="G104" s="20"/>
      <x:c r="H104" s="23"/>
      <x:c r="I104" s="20"/>
      <x:c r="J104" s="20"/>
      <x:c r="K104" s="20"/>
      <x:c r="L104" s="20"/>
      <x:c r="M104" s="20"/>
      <x:c r="N104" s="20"/>
      <x:c r="O104" s="23"/>
      <x:c r="P104" s="20"/>
      <x:c r="Q104" s="20"/>
      <x:c r="R104" s="20"/>
      <x:c r="S104" s="23"/>
      <x:c r="T104" s="20"/>
      <x:c r="U104" s="20"/>
      <x:c r="V104" s="23"/>
      <x:c r="W104" s="23"/>
      <x:c r="X104" s="26" t="str">
        <x:f>IF(A104="","",IF(O104&lt;&gt;"",(O104-H104)*24,(NOW()-H104)*24))</x:f>
      </x:c>
    </x:row>
    <x:row r="105">
      <x:c r="A105" s="20"/>
      <x:c r="B105" s="20"/>
      <x:c r="C105" s="20"/>
      <x:c r="D105" s="20"/>
      <x:c r="E105" s="20"/>
      <x:c r="F105" s="20"/>
      <x:c r="G105" s="20"/>
      <x:c r="H105" s="23"/>
      <x:c r="I105" s="20"/>
      <x:c r="J105" s="20"/>
      <x:c r="K105" s="20"/>
      <x:c r="L105" s="20"/>
      <x:c r="M105" s="20"/>
      <x:c r="N105" s="20"/>
      <x:c r="O105" s="23"/>
      <x:c r="P105" s="20"/>
      <x:c r="Q105" s="20"/>
      <x:c r="R105" s="20"/>
      <x:c r="S105" s="23"/>
      <x:c r="T105" s="20"/>
      <x:c r="U105" s="20"/>
      <x:c r="V105" s="23"/>
      <x:c r="W105" s="23"/>
      <x:c r="X105" s="26" t="str">
        <x:f>IF(A105="","",IF(O105&lt;&gt;"",(O105-H105)*24,(NOW()-H105)*24))</x:f>
      </x:c>
    </x:row>
    <x:row r="106">
      <x:c r="A106" s="20"/>
      <x:c r="B106" s="20"/>
      <x:c r="C106" s="20"/>
      <x:c r="D106" s="20"/>
      <x:c r="E106" s="20"/>
      <x:c r="F106" s="20"/>
      <x:c r="G106" s="20"/>
      <x:c r="H106" s="23"/>
      <x:c r="I106" s="20"/>
      <x:c r="J106" s="20"/>
      <x:c r="K106" s="20"/>
      <x:c r="L106" s="20"/>
      <x:c r="M106" s="20"/>
      <x:c r="N106" s="20"/>
      <x:c r="O106" s="23"/>
      <x:c r="P106" s="20"/>
      <x:c r="Q106" s="20"/>
      <x:c r="R106" s="20"/>
      <x:c r="S106" s="23"/>
      <x:c r="T106" s="20"/>
      <x:c r="U106" s="20"/>
      <x:c r="V106" s="23"/>
      <x:c r="W106" s="23"/>
      <x:c r="X106" s="26" t="str">
        <x:f>IF(A106="","",IF(O106&lt;&gt;"",(O106-H106)*24,(NOW()-H106)*24))</x:f>
      </x:c>
    </x:row>
    <x:row r="107">
      <x:c r="A107" s="20"/>
      <x:c r="B107" s="20"/>
      <x:c r="C107" s="20"/>
      <x:c r="D107" s="20"/>
      <x:c r="E107" s="20"/>
      <x:c r="F107" s="20"/>
      <x:c r="G107" s="20"/>
      <x:c r="H107" s="23"/>
      <x:c r="I107" s="20"/>
      <x:c r="J107" s="20"/>
      <x:c r="K107" s="20"/>
      <x:c r="L107" s="20"/>
      <x:c r="M107" s="20"/>
      <x:c r="N107" s="20"/>
      <x:c r="O107" s="23"/>
      <x:c r="P107" s="20"/>
      <x:c r="Q107" s="20"/>
      <x:c r="R107" s="20"/>
      <x:c r="S107" s="23"/>
      <x:c r="T107" s="20"/>
      <x:c r="U107" s="20"/>
      <x:c r="V107" s="23"/>
      <x:c r="W107" s="23"/>
      <x:c r="X107" s="26" t="str">
        <x:f>IF(A107="","",IF(O107&lt;&gt;"",(O107-H107)*24,(NOW()-H107)*24))</x:f>
      </x:c>
    </x:row>
    <x:row r="108">
      <x:c r="A108" s="20"/>
      <x:c r="B108" s="20"/>
      <x:c r="C108" s="20"/>
      <x:c r="D108" s="20"/>
      <x:c r="E108" s="20"/>
      <x:c r="F108" s="20"/>
      <x:c r="G108" s="20"/>
      <x:c r="H108" s="23"/>
      <x:c r="I108" s="20"/>
      <x:c r="J108" s="20"/>
      <x:c r="K108" s="20"/>
      <x:c r="L108" s="20"/>
      <x:c r="M108" s="20"/>
      <x:c r="N108" s="20"/>
      <x:c r="O108" s="23"/>
      <x:c r="P108" s="20"/>
      <x:c r="Q108" s="20"/>
      <x:c r="R108" s="20"/>
      <x:c r="S108" s="23"/>
      <x:c r="T108" s="20"/>
      <x:c r="U108" s="20"/>
      <x:c r="V108" s="23"/>
      <x:c r="W108" s="23"/>
      <x:c r="X108" s="26" t="str">
        <x:f>IF(A108="","",IF(O108&lt;&gt;"",(O108-H108)*24,(NOW()-H108)*24))</x:f>
      </x:c>
    </x:row>
    <x:row r="109">
      <x:c r="A109" s="20"/>
      <x:c r="B109" s="20"/>
      <x:c r="C109" s="20"/>
      <x:c r="D109" s="20"/>
      <x:c r="E109" s="20"/>
      <x:c r="F109" s="20"/>
      <x:c r="G109" s="20"/>
      <x:c r="H109" s="23"/>
      <x:c r="I109" s="20"/>
      <x:c r="J109" s="20"/>
      <x:c r="K109" s="20"/>
      <x:c r="L109" s="20"/>
      <x:c r="M109" s="20"/>
      <x:c r="N109" s="20"/>
      <x:c r="O109" s="23"/>
      <x:c r="P109" s="20"/>
      <x:c r="Q109" s="20"/>
      <x:c r="R109" s="20"/>
      <x:c r="S109" s="23"/>
      <x:c r="T109" s="20"/>
      <x:c r="U109" s="20"/>
      <x:c r="V109" s="23"/>
      <x:c r="W109" s="23"/>
      <x:c r="X109" s="26" t="str">
        <x:f>IF(A109="","",IF(O109&lt;&gt;"",(O109-H109)*24,(NOW()-H109)*24))</x:f>
      </x:c>
    </x:row>
    <x:row r="110">
      <x:c r="A110" s="20"/>
      <x:c r="B110" s="20"/>
      <x:c r="C110" s="20"/>
      <x:c r="D110" s="20"/>
      <x:c r="E110" s="20"/>
      <x:c r="F110" s="20"/>
      <x:c r="G110" s="20"/>
      <x:c r="H110" s="23"/>
      <x:c r="I110" s="20"/>
      <x:c r="J110" s="20"/>
      <x:c r="K110" s="20"/>
      <x:c r="L110" s="20"/>
      <x:c r="M110" s="20"/>
      <x:c r="N110" s="20"/>
      <x:c r="O110" s="23"/>
      <x:c r="P110" s="20"/>
      <x:c r="Q110" s="20"/>
      <x:c r="R110" s="20"/>
      <x:c r="S110" s="23"/>
      <x:c r="T110" s="20"/>
      <x:c r="U110" s="20"/>
      <x:c r="V110" s="23"/>
      <x:c r="W110" s="23"/>
      <x:c r="X110" s="26" t="str">
        <x:f>IF(A110="","",IF(O110&lt;&gt;"",(O110-H110)*24,(NOW()-H110)*24))</x:f>
      </x:c>
    </x:row>
    <x:row r="111">
      <x:c r="A111" s="20"/>
      <x:c r="B111" s="20"/>
      <x:c r="C111" s="20"/>
      <x:c r="D111" s="20"/>
      <x:c r="E111" s="20"/>
      <x:c r="F111" s="20"/>
      <x:c r="G111" s="20"/>
      <x:c r="H111" s="23"/>
      <x:c r="I111" s="20"/>
      <x:c r="J111" s="20"/>
      <x:c r="K111" s="20"/>
      <x:c r="L111" s="20"/>
      <x:c r="M111" s="20"/>
      <x:c r="N111" s="20"/>
      <x:c r="O111" s="23"/>
      <x:c r="P111" s="20"/>
      <x:c r="Q111" s="20"/>
      <x:c r="R111" s="20"/>
      <x:c r="S111" s="23"/>
      <x:c r="T111" s="20"/>
      <x:c r="U111" s="20"/>
      <x:c r="V111" s="23"/>
      <x:c r="W111" s="23"/>
      <x:c r="X111" s="26" t="str">
        <x:f>IF(A111="","",IF(O111&lt;&gt;"",(O111-H111)*24,(NOW()-H111)*24))</x:f>
      </x:c>
    </x:row>
    <x:row r="112">
      <x:c r="A112" s="20"/>
      <x:c r="B112" s="20"/>
      <x:c r="C112" s="20"/>
      <x:c r="D112" s="20"/>
      <x:c r="E112" s="20"/>
      <x:c r="F112" s="20"/>
      <x:c r="G112" s="20"/>
      <x:c r="H112" s="23"/>
      <x:c r="I112" s="20"/>
      <x:c r="J112" s="20"/>
      <x:c r="K112" s="20"/>
      <x:c r="L112" s="20"/>
      <x:c r="M112" s="20"/>
      <x:c r="N112" s="20"/>
      <x:c r="O112" s="23"/>
      <x:c r="P112" s="20"/>
      <x:c r="Q112" s="20"/>
      <x:c r="R112" s="20"/>
      <x:c r="S112" s="23"/>
      <x:c r="T112" s="20"/>
      <x:c r="U112" s="20"/>
      <x:c r="V112" s="23"/>
      <x:c r="W112" s="23"/>
      <x:c r="X112" s="26" t="str">
        <x:f>IF(A112="","",IF(O112&lt;&gt;"",(O112-H112)*24,(NOW()-H112)*24))</x:f>
      </x:c>
    </x:row>
    <x:row r="113">
      <x:c r="A113" s="20"/>
      <x:c r="B113" s="20"/>
      <x:c r="C113" s="20"/>
      <x:c r="D113" s="20"/>
      <x:c r="E113" s="20"/>
      <x:c r="F113" s="20"/>
      <x:c r="G113" s="20"/>
      <x:c r="H113" s="23"/>
      <x:c r="I113" s="20"/>
      <x:c r="J113" s="20"/>
      <x:c r="K113" s="20"/>
      <x:c r="L113" s="20"/>
      <x:c r="M113" s="20"/>
      <x:c r="N113" s="20"/>
      <x:c r="O113" s="23"/>
      <x:c r="P113" s="20"/>
      <x:c r="Q113" s="20"/>
      <x:c r="R113" s="20"/>
      <x:c r="S113" s="23"/>
      <x:c r="T113" s="20"/>
      <x:c r="U113" s="20"/>
      <x:c r="V113" s="23"/>
      <x:c r="W113" s="23"/>
      <x:c r="X113" s="26" t="str">
        <x:f>IF(A113="","",IF(O113&lt;&gt;"",(O113-H113)*24,(NOW()-H113)*24))</x:f>
      </x:c>
    </x:row>
    <x:row r="114">
      <x:c r="A114" s="20"/>
      <x:c r="B114" s="20"/>
      <x:c r="C114" s="20"/>
      <x:c r="D114" s="20"/>
      <x:c r="E114" s="20"/>
      <x:c r="F114" s="20"/>
      <x:c r="G114" s="20"/>
      <x:c r="H114" s="23"/>
      <x:c r="I114" s="20"/>
      <x:c r="J114" s="20"/>
      <x:c r="K114" s="20"/>
      <x:c r="L114" s="20"/>
      <x:c r="M114" s="20"/>
      <x:c r="N114" s="20"/>
      <x:c r="O114" s="23"/>
      <x:c r="P114" s="20"/>
      <x:c r="Q114" s="20"/>
      <x:c r="R114" s="20"/>
      <x:c r="S114" s="23"/>
      <x:c r="T114" s="20"/>
      <x:c r="U114" s="20"/>
      <x:c r="V114" s="23"/>
      <x:c r="W114" s="23"/>
      <x:c r="X114" s="26" t="str">
        <x:f>IF(A114="","",IF(O114&lt;&gt;"",(O114-H114)*24,(NOW()-H114)*24))</x:f>
      </x:c>
    </x:row>
    <x:row r="115">
      <x:c r="A115" s="20"/>
      <x:c r="B115" s="20"/>
      <x:c r="C115" s="20"/>
      <x:c r="D115" s="20"/>
      <x:c r="E115" s="20"/>
      <x:c r="F115" s="20"/>
      <x:c r="G115" s="20"/>
      <x:c r="H115" s="23"/>
      <x:c r="I115" s="20"/>
      <x:c r="J115" s="20"/>
      <x:c r="K115" s="20"/>
      <x:c r="L115" s="20"/>
      <x:c r="M115" s="20"/>
      <x:c r="N115" s="20"/>
      <x:c r="O115" s="23"/>
      <x:c r="P115" s="20"/>
      <x:c r="Q115" s="20"/>
      <x:c r="R115" s="20"/>
      <x:c r="S115" s="23"/>
      <x:c r="T115" s="20"/>
      <x:c r="U115" s="20"/>
      <x:c r="V115" s="23"/>
      <x:c r="W115" s="23"/>
      <x:c r="X115" s="26" t="str">
        <x:f>IF(A115="","",IF(O115&lt;&gt;"",(O115-H115)*24,(NOW()-H115)*24))</x:f>
      </x:c>
    </x:row>
    <x:row r="116">
      <x:c r="A116" s="20"/>
      <x:c r="B116" s="20"/>
      <x:c r="C116" s="20"/>
      <x:c r="D116" s="20"/>
      <x:c r="E116" s="20"/>
      <x:c r="F116" s="20"/>
      <x:c r="G116" s="20"/>
      <x:c r="H116" s="23"/>
      <x:c r="I116" s="20"/>
      <x:c r="J116" s="20"/>
      <x:c r="K116" s="20"/>
      <x:c r="L116" s="20"/>
      <x:c r="M116" s="20"/>
      <x:c r="N116" s="20"/>
      <x:c r="O116" s="23"/>
      <x:c r="P116" s="20"/>
      <x:c r="Q116" s="20"/>
      <x:c r="R116" s="20"/>
      <x:c r="S116" s="23"/>
      <x:c r="T116" s="20"/>
      <x:c r="U116" s="20"/>
      <x:c r="V116" s="23"/>
      <x:c r="W116" s="23"/>
      <x:c r="X116" s="26" t="str">
        <x:f>IF(A116="","",IF(O116&lt;&gt;"",(O116-H116)*24,(NOW()-H116)*24))</x:f>
      </x:c>
    </x:row>
    <x:row r="117">
      <x:c r="A117" s="20"/>
      <x:c r="B117" s="20"/>
      <x:c r="C117" s="20"/>
      <x:c r="D117" s="20"/>
      <x:c r="E117" s="20"/>
      <x:c r="F117" s="20"/>
      <x:c r="G117" s="20"/>
      <x:c r="H117" s="23"/>
      <x:c r="I117" s="20"/>
      <x:c r="J117" s="20"/>
      <x:c r="K117" s="20"/>
      <x:c r="L117" s="20"/>
      <x:c r="M117" s="20"/>
      <x:c r="N117" s="20"/>
      <x:c r="O117" s="23"/>
      <x:c r="P117" s="20"/>
      <x:c r="Q117" s="20"/>
      <x:c r="R117" s="20"/>
      <x:c r="S117" s="23"/>
      <x:c r="T117" s="20"/>
      <x:c r="U117" s="20"/>
      <x:c r="V117" s="23"/>
      <x:c r="W117" s="23"/>
      <x:c r="X117" s="26" t="str">
        <x:f>IF(A117="","",IF(O117&lt;&gt;"",(O117-H117)*24,(NOW()-H117)*24))</x:f>
      </x:c>
    </x:row>
    <x:row r="118">
      <x:c r="A118" s="20"/>
      <x:c r="B118" s="20"/>
      <x:c r="C118" s="20"/>
      <x:c r="D118" s="20"/>
      <x:c r="E118" s="20"/>
      <x:c r="F118" s="20"/>
      <x:c r="G118" s="20"/>
      <x:c r="H118" s="23"/>
      <x:c r="I118" s="20"/>
      <x:c r="J118" s="20"/>
      <x:c r="K118" s="20"/>
      <x:c r="L118" s="20"/>
      <x:c r="M118" s="20"/>
      <x:c r="N118" s="20"/>
      <x:c r="O118" s="23"/>
      <x:c r="P118" s="20"/>
      <x:c r="Q118" s="20"/>
      <x:c r="R118" s="20"/>
      <x:c r="S118" s="23"/>
      <x:c r="T118" s="20"/>
      <x:c r="U118" s="20"/>
      <x:c r="V118" s="23"/>
      <x:c r="W118" s="23"/>
      <x:c r="X118" s="26" t="str">
        <x:f>IF(A118="","",IF(O118&lt;&gt;"",(O118-H118)*24,(NOW()-H118)*24))</x:f>
      </x:c>
    </x:row>
    <x:row r="119">
      <x:c r="A119" s="20"/>
      <x:c r="B119" s="20"/>
      <x:c r="C119" s="20"/>
      <x:c r="D119" s="20"/>
      <x:c r="E119" s="20"/>
      <x:c r="F119" s="20"/>
      <x:c r="G119" s="20"/>
      <x:c r="H119" s="23"/>
      <x:c r="I119" s="20"/>
      <x:c r="J119" s="20"/>
      <x:c r="K119" s="20"/>
      <x:c r="L119" s="20"/>
      <x:c r="M119" s="20"/>
      <x:c r="N119" s="20"/>
      <x:c r="O119" s="23"/>
      <x:c r="P119" s="20"/>
      <x:c r="Q119" s="20"/>
      <x:c r="R119" s="20"/>
      <x:c r="S119" s="23"/>
      <x:c r="T119" s="20"/>
      <x:c r="U119" s="20"/>
      <x:c r="V119" s="23"/>
      <x:c r="W119" s="23"/>
      <x:c r="X119" s="26" t="str">
        <x:f>IF(A119="","",IF(O119&lt;&gt;"",(O119-H119)*24,(NOW()-H119)*24))</x:f>
      </x:c>
    </x:row>
    <x:row r="120">
      <x:c r="A120" s="20"/>
      <x:c r="B120" s="20"/>
      <x:c r="C120" s="20"/>
      <x:c r="D120" s="20"/>
      <x:c r="E120" s="20"/>
      <x:c r="F120" s="20"/>
      <x:c r="G120" s="20"/>
      <x:c r="H120" s="23"/>
      <x:c r="I120" s="20"/>
      <x:c r="J120" s="20"/>
      <x:c r="K120" s="20"/>
      <x:c r="L120" s="20"/>
      <x:c r="M120" s="20"/>
      <x:c r="N120" s="20"/>
      <x:c r="O120" s="23"/>
      <x:c r="P120" s="20"/>
      <x:c r="Q120" s="20"/>
      <x:c r="R120" s="20"/>
      <x:c r="S120" s="23"/>
      <x:c r="T120" s="20"/>
      <x:c r="U120" s="20"/>
      <x:c r="V120" s="23"/>
      <x:c r="W120" s="23"/>
      <x:c r="X120" s="26" t="str">
        <x:f>IF(A120="","",IF(O120&lt;&gt;"",(O120-H120)*24,(NOW()-H120)*24))</x:f>
      </x:c>
    </x:row>
    <x:row r="121">
      <x:c r="A121" s="20"/>
      <x:c r="B121" s="20"/>
      <x:c r="C121" s="20"/>
      <x:c r="D121" s="20"/>
      <x:c r="E121" s="20"/>
      <x:c r="F121" s="20"/>
      <x:c r="G121" s="20"/>
      <x:c r="H121" s="23"/>
      <x:c r="I121" s="20"/>
      <x:c r="J121" s="20"/>
      <x:c r="K121" s="20"/>
      <x:c r="L121" s="20"/>
      <x:c r="M121" s="20"/>
      <x:c r="N121" s="20"/>
      <x:c r="O121" s="23"/>
      <x:c r="P121" s="20"/>
      <x:c r="Q121" s="20"/>
      <x:c r="R121" s="20"/>
      <x:c r="S121" s="23"/>
      <x:c r="T121" s="20"/>
      <x:c r="U121" s="20"/>
      <x:c r="V121" s="23"/>
      <x:c r="W121" s="23"/>
      <x:c r="X121" s="26" t="str">
        <x:f>IF(A121="","",IF(O121&lt;&gt;"",(O121-H121)*24,(NOW()-H121)*24))</x:f>
      </x:c>
    </x:row>
    <x:row r="122">
      <x:c r="A122" s="20"/>
      <x:c r="B122" s="20"/>
      <x:c r="C122" s="20"/>
      <x:c r="D122" s="20"/>
      <x:c r="E122" s="20"/>
      <x:c r="F122" s="20"/>
      <x:c r="G122" s="20"/>
      <x:c r="H122" s="23"/>
      <x:c r="I122" s="20"/>
      <x:c r="J122" s="20"/>
      <x:c r="K122" s="20"/>
      <x:c r="L122" s="20"/>
      <x:c r="M122" s="20"/>
      <x:c r="N122" s="20"/>
      <x:c r="O122" s="23"/>
      <x:c r="P122" s="20"/>
      <x:c r="Q122" s="20"/>
      <x:c r="R122" s="20"/>
      <x:c r="S122" s="23"/>
      <x:c r="T122" s="20"/>
      <x:c r="U122" s="20"/>
      <x:c r="V122" s="23"/>
      <x:c r="W122" s="23"/>
      <x:c r="X122" s="26" t="str">
        <x:f>IF(A122="","",IF(O122&lt;&gt;"",(O122-H122)*24,(NOW()-H122)*24))</x:f>
      </x:c>
    </x:row>
    <x:row r="123">
      <x:c r="A123" s="20"/>
      <x:c r="B123" s="20"/>
      <x:c r="C123" s="20"/>
      <x:c r="D123" s="20"/>
      <x:c r="E123" s="20"/>
      <x:c r="F123" s="20"/>
      <x:c r="G123" s="20"/>
      <x:c r="H123" s="23"/>
      <x:c r="I123" s="20"/>
      <x:c r="J123" s="20"/>
      <x:c r="K123" s="20"/>
      <x:c r="L123" s="20"/>
      <x:c r="M123" s="20"/>
      <x:c r="N123" s="20"/>
      <x:c r="O123" s="23"/>
      <x:c r="P123" s="20"/>
      <x:c r="Q123" s="20"/>
      <x:c r="R123" s="20"/>
      <x:c r="S123" s="23"/>
      <x:c r="T123" s="20"/>
      <x:c r="U123" s="20"/>
      <x:c r="V123" s="23"/>
      <x:c r="W123" s="23"/>
      <x:c r="X123" s="26" t="str">
        <x:f>IF(A123="","",IF(O123&lt;&gt;"",(O123-H123)*24,(NOW()-H123)*24))</x:f>
      </x:c>
    </x:row>
    <x:row r="124">
      <x:c r="A124" s="20"/>
      <x:c r="B124" s="20"/>
      <x:c r="C124" s="20"/>
      <x:c r="D124" s="20"/>
      <x:c r="E124" s="20"/>
      <x:c r="F124" s="20"/>
      <x:c r="G124" s="20"/>
      <x:c r="H124" s="23"/>
      <x:c r="I124" s="20"/>
      <x:c r="J124" s="20"/>
      <x:c r="K124" s="20"/>
      <x:c r="L124" s="20"/>
      <x:c r="M124" s="20"/>
      <x:c r="N124" s="20"/>
      <x:c r="O124" s="23"/>
      <x:c r="P124" s="20"/>
      <x:c r="Q124" s="20"/>
      <x:c r="R124" s="20"/>
      <x:c r="S124" s="23"/>
      <x:c r="T124" s="20"/>
      <x:c r="U124" s="20"/>
      <x:c r="V124" s="23"/>
      <x:c r="W124" s="23"/>
      <x:c r="X124" s="26" t="str">
        <x:f>IF(A124="","",IF(O124&lt;&gt;"",(O124-H124)*24,(NOW()-H124)*24))</x:f>
      </x:c>
    </x:row>
    <x:row r="125">
      <x:c r="A125" s="20"/>
      <x:c r="B125" s="20"/>
      <x:c r="C125" s="20"/>
      <x:c r="D125" s="20"/>
      <x:c r="E125" s="20"/>
      <x:c r="F125" s="20"/>
      <x:c r="G125" s="20"/>
      <x:c r="H125" s="23"/>
      <x:c r="I125" s="20"/>
      <x:c r="J125" s="20"/>
      <x:c r="K125" s="20"/>
      <x:c r="L125" s="20"/>
      <x:c r="M125" s="20"/>
      <x:c r="N125" s="20"/>
      <x:c r="O125" s="23"/>
      <x:c r="P125" s="20"/>
      <x:c r="Q125" s="20"/>
      <x:c r="R125" s="20"/>
      <x:c r="S125" s="23"/>
      <x:c r="T125" s="20"/>
      <x:c r="U125" s="20"/>
      <x:c r="V125" s="23"/>
      <x:c r="W125" s="23"/>
      <x:c r="X125" s="26" t="str">
        <x:f>IF(A125="","",IF(O125&lt;&gt;"",(O125-H125)*24,(NOW()-H125)*24))</x:f>
      </x:c>
    </x:row>
    <x:row r="126">
      <x:c r="A126" s="20"/>
      <x:c r="B126" s="20"/>
      <x:c r="C126" s="20"/>
      <x:c r="D126" s="20"/>
      <x:c r="E126" s="20"/>
      <x:c r="F126" s="20"/>
      <x:c r="G126" s="20"/>
      <x:c r="H126" s="23"/>
      <x:c r="I126" s="20"/>
      <x:c r="J126" s="20"/>
      <x:c r="K126" s="20"/>
      <x:c r="L126" s="20"/>
      <x:c r="M126" s="20"/>
      <x:c r="N126" s="20"/>
      <x:c r="O126" s="23"/>
      <x:c r="P126" s="20"/>
      <x:c r="Q126" s="20"/>
      <x:c r="R126" s="20"/>
      <x:c r="S126" s="23"/>
      <x:c r="T126" s="20"/>
      <x:c r="U126" s="20"/>
      <x:c r="V126" s="23"/>
      <x:c r="W126" s="23"/>
      <x:c r="X126" s="26" t="str">
        <x:f>IF(A126="","",IF(O126&lt;&gt;"",(O126-H126)*24,(NOW()-H126)*24))</x:f>
      </x:c>
    </x:row>
    <x:row r="127">
      <x:c r="A127" s="20"/>
      <x:c r="B127" s="20"/>
      <x:c r="C127" s="20"/>
      <x:c r="D127" s="20"/>
      <x:c r="E127" s="20"/>
      <x:c r="F127" s="20"/>
      <x:c r="G127" s="20"/>
      <x:c r="H127" s="23"/>
      <x:c r="I127" s="20"/>
      <x:c r="J127" s="20"/>
      <x:c r="K127" s="20"/>
      <x:c r="L127" s="20"/>
      <x:c r="M127" s="20"/>
      <x:c r="N127" s="20"/>
      <x:c r="O127" s="23"/>
      <x:c r="P127" s="20"/>
      <x:c r="Q127" s="20"/>
      <x:c r="R127" s="20"/>
      <x:c r="S127" s="23"/>
      <x:c r="T127" s="20"/>
      <x:c r="U127" s="20"/>
      <x:c r="V127" s="23"/>
      <x:c r="W127" s="23"/>
      <x:c r="X127" s="26" t="str">
        <x:f>IF(A127="","",IF(O127&lt;&gt;"",(O127-H127)*24,(NOW()-H127)*24))</x:f>
      </x:c>
    </x:row>
    <x:row r="128">
      <x:c r="A128" s="20"/>
      <x:c r="B128" s="20"/>
      <x:c r="C128" s="20"/>
      <x:c r="D128" s="20"/>
      <x:c r="E128" s="20"/>
      <x:c r="F128" s="20"/>
      <x:c r="G128" s="20"/>
      <x:c r="H128" s="23"/>
      <x:c r="I128" s="20"/>
      <x:c r="J128" s="20"/>
      <x:c r="K128" s="20"/>
      <x:c r="L128" s="20"/>
      <x:c r="M128" s="20"/>
      <x:c r="N128" s="20"/>
      <x:c r="O128" s="23"/>
      <x:c r="P128" s="20"/>
      <x:c r="Q128" s="20"/>
      <x:c r="R128" s="20"/>
      <x:c r="S128" s="23"/>
      <x:c r="T128" s="20"/>
      <x:c r="U128" s="20"/>
      <x:c r="V128" s="23"/>
      <x:c r="W128" s="23"/>
      <x:c r="X128" s="26" t="str">
        <x:f>IF(A128="","",IF(O128&lt;&gt;"",(O128-H128)*24,(NOW()-H128)*24))</x:f>
      </x:c>
    </x:row>
    <x:row r="129">
      <x:c r="A129" s="20"/>
      <x:c r="B129" s="20"/>
      <x:c r="C129" s="20"/>
      <x:c r="D129" s="20"/>
      <x:c r="E129" s="20"/>
      <x:c r="F129" s="20"/>
      <x:c r="G129" s="20"/>
      <x:c r="H129" s="23"/>
      <x:c r="I129" s="20"/>
      <x:c r="J129" s="20"/>
      <x:c r="K129" s="20"/>
      <x:c r="L129" s="20"/>
      <x:c r="M129" s="20"/>
      <x:c r="N129" s="20"/>
      <x:c r="O129" s="23"/>
      <x:c r="P129" s="20"/>
      <x:c r="Q129" s="20"/>
      <x:c r="R129" s="20"/>
      <x:c r="S129" s="23"/>
      <x:c r="T129" s="20"/>
      <x:c r="U129" s="20"/>
      <x:c r="V129" s="23"/>
      <x:c r="W129" s="23"/>
      <x:c r="X129" s="26" t="str">
        <x:f>IF(A129="","",IF(O129&lt;&gt;"",(O129-H129)*24,(NOW()-H129)*24))</x:f>
      </x:c>
    </x:row>
    <x:row r="130">
      <x:c r="A130" s="20"/>
      <x:c r="B130" s="20"/>
      <x:c r="C130" s="20"/>
      <x:c r="D130" s="20"/>
      <x:c r="E130" s="20"/>
      <x:c r="F130" s="20"/>
      <x:c r="G130" s="20"/>
      <x:c r="H130" s="23"/>
      <x:c r="I130" s="20"/>
      <x:c r="J130" s="20"/>
      <x:c r="K130" s="20"/>
      <x:c r="L130" s="20"/>
      <x:c r="M130" s="20"/>
      <x:c r="N130" s="20"/>
      <x:c r="O130" s="23"/>
      <x:c r="P130" s="20"/>
      <x:c r="Q130" s="20"/>
      <x:c r="R130" s="20"/>
      <x:c r="S130" s="23"/>
      <x:c r="T130" s="20"/>
      <x:c r="U130" s="20"/>
      <x:c r="V130" s="23"/>
      <x:c r="W130" s="23"/>
      <x:c r="X130" s="26" t="str">
        <x:f>IF(A130="","",IF(O130&lt;&gt;"",(O130-H130)*24,(NOW()-H130)*24))</x:f>
      </x:c>
    </x:row>
    <x:row r="131">
      <x:c r="A131" s="20"/>
      <x:c r="B131" s="20"/>
      <x:c r="C131" s="20"/>
      <x:c r="D131" s="20"/>
      <x:c r="E131" s="20"/>
      <x:c r="F131" s="20"/>
      <x:c r="G131" s="20"/>
      <x:c r="H131" s="23"/>
      <x:c r="I131" s="20"/>
      <x:c r="J131" s="20"/>
      <x:c r="K131" s="20"/>
      <x:c r="L131" s="20"/>
      <x:c r="M131" s="20"/>
      <x:c r="N131" s="20"/>
      <x:c r="O131" s="23"/>
      <x:c r="P131" s="20"/>
      <x:c r="Q131" s="20"/>
      <x:c r="R131" s="20"/>
      <x:c r="S131" s="23"/>
      <x:c r="T131" s="20"/>
      <x:c r="U131" s="20"/>
      <x:c r="V131" s="23"/>
      <x:c r="W131" s="23"/>
      <x:c r="X131" s="26" t="str">
        <x:f>IF(A131="","",IF(O131&lt;&gt;"",(O131-H131)*24,(NOW()-H131)*24))</x:f>
      </x:c>
    </x:row>
    <x:row r="132">
      <x:c r="A132" s="20"/>
      <x:c r="B132" s="20"/>
      <x:c r="C132" s="20"/>
      <x:c r="D132" s="20"/>
      <x:c r="E132" s="20"/>
      <x:c r="F132" s="20"/>
      <x:c r="G132" s="20"/>
      <x:c r="H132" s="23"/>
      <x:c r="I132" s="20"/>
      <x:c r="J132" s="20"/>
      <x:c r="K132" s="20"/>
      <x:c r="L132" s="20"/>
      <x:c r="M132" s="20"/>
      <x:c r="N132" s="20"/>
      <x:c r="O132" s="23"/>
      <x:c r="P132" s="20"/>
      <x:c r="Q132" s="20"/>
      <x:c r="R132" s="20"/>
      <x:c r="S132" s="23"/>
      <x:c r="T132" s="20"/>
      <x:c r="U132" s="20"/>
      <x:c r="V132" s="23"/>
      <x:c r="W132" s="23"/>
      <x:c r="X132" s="26" t="str">
        <x:f>IF(A132="","",IF(O132&lt;&gt;"",(O132-H132)*24,(NOW()-H132)*24))</x:f>
      </x:c>
    </x:row>
    <x:row r="133">
      <x:c r="A133" s="20"/>
      <x:c r="B133" s="20"/>
      <x:c r="C133" s="20"/>
      <x:c r="D133" s="20"/>
      <x:c r="E133" s="20"/>
      <x:c r="F133" s="20"/>
      <x:c r="G133" s="20"/>
      <x:c r="H133" s="23"/>
      <x:c r="I133" s="20"/>
      <x:c r="J133" s="20"/>
      <x:c r="K133" s="20"/>
      <x:c r="L133" s="20"/>
      <x:c r="M133" s="20"/>
      <x:c r="N133" s="20"/>
      <x:c r="O133" s="23"/>
      <x:c r="P133" s="20"/>
      <x:c r="Q133" s="20"/>
      <x:c r="R133" s="20"/>
      <x:c r="S133" s="23"/>
      <x:c r="T133" s="20"/>
      <x:c r="U133" s="20"/>
      <x:c r="V133" s="23"/>
      <x:c r="W133" s="23"/>
      <x:c r="X133" s="26" t="str">
        <x:f>IF(A133="","",IF(O133&lt;&gt;"",(O133-H133)*24,(NOW()-H133)*24))</x:f>
      </x:c>
    </x:row>
    <x:row r="134">
      <x:c r="A134" s="20"/>
      <x:c r="B134" s="20"/>
      <x:c r="C134" s="20"/>
      <x:c r="D134" s="20"/>
      <x:c r="E134" s="20"/>
      <x:c r="F134" s="20"/>
      <x:c r="G134" s="20"/>
      <x:c r="H134" s="23"/>
      <x:c r="I134" s="20"/>
      <x:c r="J134" s="20"/>
      <x:c r="K134" s="20"/>
      <x:c r="L134" s="20"/>
      <x:c r="M134" s="20"/>
      <x:c r="N134" s="20"/>
      <x:c r="O134" s="23"/>
      <x:c r="P134" s="20"/>
      <x:c r="Q134" s="20"/>
      <x:c r="R134" s="20"/>
      <x:c r="S134" s="23"/>
      <x:c r="T134" s="20"/>
      <x:c r="U134" s="20"/>
      <x:c r="V134" s="23"/>
      <x:c r="W134" s="23"/>
      <x:c r="X134" s="26" t="str">
        <x:f>IF(A134="","",IF(O134&lt;&gt;"",(O134-H134)*24,(NOW()-H134)*24))</x:f>
      </x:c>
    </x:row>
    <x:row r="135">
      <x:c r="A135" s="20"/>
      <x:c r="B135" s="20"/>
      <x:c r="C135" s="20"/>
      <x:c r="D135" s="20"/>
      <x:c r="E135" s="20"/>
      <x:c r="F135" s="20"/>
      <x:c r="G135" s="20"/>
      <x:c r="H135" s="23"/>
      <x:c r="I135" s="20"/>
      <x:c r="J135" s="20"/>
      <x:c r="K135" s="20"/>
      <x:c r="L135" s="20"/>
      <x:c r="M135" s="20"/>
      <x:c r="N135" s="20"/>
      <x:c r="O135" s="23"/>
      <x:c r="P135" s="20"/>
      <x:c r="Q135" s="20"/>
      <x:c r="R135" s="20"/>
      <x:c r="S135" s="23"/>
      <x:c r="T135" s="20"/>
      <x:c r="U135" s="20"/>
      <x:c r="V135" s="23"/>
      <x:c r="W135" s="23"/>
      <x:c r="X135" s="26" t="str">
        <x:f>IF(A135="","",IF(O135&lt;&gt;"",(O135-H135)*24,(NOW()-H135)*24))</x:f>
      </x:c>
    </x:row>
    <x:row r="136">
      <x:c r="A136" s="20"/>
      <x:c r="B136" s="20"/>
      <x:c r="C136" s="20"/>
      <x:c r="D136" s="20"/>
      <x:c r="E136" s="20"/>
      <x:c r="F136" s="20"/>
      <x:c r="G136" s="20"/>
      <x:c r="H136" s="23"/>
      <x:c r="I136" s="20"/>
      <x:c r="J136" s="20"/>
      <x:c r="K136" s="20"/>
      <x:c r="L136" s="20"/>
      <x:c r="M136" s="20"/>
      <x:c r="N136" s="20"/>
      <x:c r="O136" s="23"/>
      <x:c r="P136" s="20"/>
      <x:c r="Q136" s="20"/>
      <x:c r="R136" s="20"/>
      <x:c r="S136" s="23"/>
      <x:c r="T136" s="20"/>
      <x:c r="U136" s="20"/>
      <x:c r="V136" s="23"/>
      <x:c r="W136" s="23"/>
      <x:c r="X136" s="26" t="str">
        <x:f>IF(A136="","",IF(O136&lt;&gt;"",(O136-H136)*24,(NOW()-H136)*24))</x:f>
      </x:c>
    </x:row>
    <x:row r="137">
      <x:c r="A137" s="20"/>
      <x:c r="B137" s="20"/>
      <x:c r="C137" s="20"/>
      <x:c r="D137" s="20"/>
      <x:c r="E137" s="20"/>
      <x:c r="F137" s="20"/>
      <x:c r="G137" s="20"/>
      <x:c r="H137" s="23"/>
      <x:c r="I137" s="20"/>
      <x:c r="J137" s="20"/>
      <x:c r="K137" s="20"/>
      <x:c r="L137" s="20"/>
      <x:c r="M137" s="20"/>
      <x:c r="N137" s="20"/>
      <x:c r="O137" s="23"/>
      <x:c r="P137" s="20"/>
      <x:c r="Q137" s="20"/>
      <x:c r="R137" s="20"/>
      <x:c r="S137" s="23"/>
      <x:c r="T137" s="20"/>
      <x:c r="U137" s="20"/>
      <x:c r="V137" s="23"/>
      <x:c r="W137" s="23"/>
      <x:c r="X137" s="26" t="str">
        <x:f>IF(A137="","",IF(O137&lt;&gt;"",(O137-H137)*24,(NOW()-H137)*24))</x:f>
      </x:c>
    </x:row>
    <x:row r="138">
      <x:c r="A138" s="20"/>
      <x:c r="B138" s="20"/>
      <x:c r="C138" s="20"/>
      <x:c r="D138" s="20"/>
      <x:c r="E138" s="20"/>
      <x:c r="F138" s="20"/>
      <x:c r="G138" s="20"/>
      <x:c r="H138" s="23"/>
      <x:c r="I138" s="20"/>
      <x:c r="J138" s="20"/>
      <x:c r="K138" s="20"/>
      <x:c r="L138" s="20"/>
      <x:c r="M138" s="20"/>
      <x:c r="N138" s="20"/>
      <x:c r="O138" s="23"/>
      <x:c r="P138" s="20"/>
      <x:c r="Q138" s="20"/>
      <x:c r="R138" s="20"/>
      <x:c r="S138" s="23"/>
      <x:c r="T138" s="20"/>
      <x:c r="U138" s="20"/>
      <x:c r="V138" s="23"/>
      <x:c r="W138" s="23"/>
      <x:c r="X138" s="26" t="str">
        <x:f>IF(A138="","",IF(O138&lt;&gt;"",(O138-H138)*24,(NOW()-H138)*24))</x:f>
      </x:c>
    </x:row>
    <x:row r="139">
      <x:c r="A139" s="20"/>
      <x:c r="B139" s="20"/>
      <x:c r="C139" s="20"/>
      <x:c r="D139" s="20"/>
      <x:c r="E139" s="20"/>
      <x:c r="F139" s="20"/>
      <x:c r="G139" s="20"/>
      <x:c r="H139" s="23"/>
      <x:c r="I139" s="20"/>
      <x:c r="J139" s="20"/>
      <x:c r="K139" s="20"/>
      <x:c r="L139" s="20"/>
      <x:c r="M139" s="20"/>
      <x:c r="N139" s="20"/>
      <x:c r="O139" s="23"/>
      <x:c r="P139" s="20"/>
      <x:c r="Q139" s="20"/>
      <x:c r="R139" s="20"/>
      <x:c r="S139" s="23"/>
      <x:c r="T139" s="20"/>
      <x:c r="U139" s="20"/>
      <x:c r="V139" s="23"/>
      <x:c r="W139" s="23"/>
      <x:c r="X139" s="26" t="str">
        <x:f>IF(A139="","",IF(O139&lt;&gt;"",(O139-H139)*24,(NOW()-H139)*24))</x:f>
      </x:c>
    </x:row>
    <x:row r="140">
      <x:c r="A140" s="20"/>
      <x:c r="B140" s="20"/>
      <x:c r="C140" s="20"/>
      <x:c r="D140" s="20"/>
      <x:c r="E140" s="20"/>
      <x:c r="F140" s="20"/>
      <x:c r="G140" s="20"/>
      <x:c r="H140" s="23"/>
      <x:c r="I140" s="20"/>
      <x:c r="J140" s="20"/>
      <x:c r="K140" s="20"/>
      <x:c r="L140" s="20"/>
      <x:c r="M140" s="20"/>
      <x:c r="N140" s="20"/>
      <x:c r="O140" s="23"/>
      <x:c r="P140" s="20"/>
      <x:c r="Q140" s="20"/>
      <x:c r="R140" s="20"/>
      <x:c r="S140" s="23"/>
      <x:c r="T140" s="20"/>
      <x:c r="U140" s="20"/>
      <x:c r="V140" s="23"/>
      <x:c r="W140" s="23"/>
      <x:c r="X140" s="26" t="str">
        <x:f>IF(A140="","",IF(O140&lt;&gt;"",(O140-H140)*24,(NOW()-H140)*24))</x:f>
      </x:c>
    </x:row>
    <x:row r="141">
      <x:c r="A141" s="20"/>
      <x:c r="B141" s="20"/>
      <x:c r="C141" s="20"/>
      <x:c r="D141" s="20"/>
      <x:c r="E141" s="20"/>
      <x:c r="F141" s="20"/>
      <x:c r="G141" s="20"/>
      <x:c r="H141" s="23"/>
      <x:c r="I141" s="20"/>
      <x:c r="J141" s="20"/>
      <x:c r="K141" s="20"/>
      <x:c r="L141" s="20"/>
      <x:c r="M141" s="20"/>
      <x:c r="N141" s="20"/>
      <x:c r="O141" s="23"/>
      <x:c r="P141" s="20"/>
      <x:c r="Q141" s="20"/>
      <x:c r="R141" s="20"/>
      <x:c r="S141" s="23"/>
      <x:c r="T141" s="20"/>
      <x:c r="U141" s="20"/>
      <x:c r="V141" s="23"/>
      <x:c r="W141" s="23"/>
      <x:c r="X141" s="26" t="str">
        <x:f>IF(A141="","",IF(O141&lt;&gt;"",(O141-H141)*24,(NOW()-H141)*24))</x:f>
      </x:c>
    </x:row>
    <x:row r="142">
      <x:c r="A142" s="20"/>
      <x:c r="B142" s="20"/>
      <x:c r="C142" s="20"/>
      <x:c r="D142" s="20"/>
      <x:c r="E142" s="20"/>
      <x:c r="F142" s="20"/>
      <x:c r="G142" s="20"/>
      <x:c r="H142" s="23"/>
      <x:c r="I142" s="20"/>
      <x:c r="J142" s="20"/>
      <x:c r="K142" s="20"/>
      <x:c r="L142" s="20"/>
      <x:c r="M142" s="20"/>
      <x:c r="N142" s="20"/>
      <x:c r="O142" s="23"/>
      <x:c r="P142" s="20"/>
      <x:c r="Q142" s="20"/>
      <x:c r="R142" s="20"/>
      <x:c r="S142" s="23"/>
      <x:c r="T142" s="20"/>
      <x:c r="U142" s="20"/>
      <x:c r="V142" s="23"/>
      <x:c r="W142" s="23"/>
      <x:c r="X142" s="26" t="str">
        <x:f>IF(A142="","",IF(O142&lt;&gt;"",(O142-H142)*24,(NOW()-H142)*24))</x:f>
      </x:c>
    </x:row>
    <x:row r="143">
      <x:c r="A143" s="20"/>
      <x:c r="B143" s="20"/>
      <x:c r="C143" s="20"/>
      <x:c r="D143" s="20"/>
      <x:c r="E143" s="20"/>
      <x:c r="F143" s="20"/>
      <x:c r="G143" s="20"/>
      <x:c r="H143" s="23"/>
      <x:c r="I143" s="20"/>
      <x:c r="J143" s="20"/>
      <x:c r="K143" s="20"/>
      <x:c r="L143" s="20"/>
      <x:c r="M143" s="20"/>
      <x:c r="N143" s="20"/>
      <x:c r="O143" s="23"/>
      <x:c r="P143" s="20"/>
      <x:c r="Q143" s="20"/>
      <x:c r="R143" s="20"/>
      <x:c r="S143" s="23"/>
      <x:c r="T143" s="20"/>
      <x:c r="U143" s="20"/>
      <x:c r="V143" s="23"/>
      <x:c r="W143" s="23"/>
      <x:c r="X143" s="26" t="str">
        <x:f>IF(A143="","",IF(O143&lt;&gt;"",(O143-H143)*24,(NOW()-H143)*24))</x:f>
      </x:c>
    </x:row>
    <x:row r="144">
      <x:c r="A144" s="20"/>
      <x:c r="B144" s="20"/>
      <x:c r="C144" s="20"/>
      <x:c r="D144" s="20"/>
      <x:c r="E144" s="20"/>
      <x:c r="F144" s="20"/>
      <x:c r="G144" s="20"/>
      <x:c r="H144" s="23"/>
      <x:c r="I144" s="20"/>
      <x:c r="J144" s="20"/>
      <x:c r="K144" s="20"/>
      <x:c r="L144" s="20"/>
      <x:c r="M144" s="20"/>
      <x:c r="N144" s="20"/>
      <x:c r="O144" s="23"/>
      <x:c r="P144" s="20"/>
      <x:c r="Q144" s="20"/>
      <x:c r="R144" s="20"/>
      <x:c r="S144" s="23"/>
      <x:c r="T144" s="20"/>
      <x:c r="U144" s="20"/>
      <x:c r="V144" s="23"/>
      <x:c r="W144" s="23"/>
      <x:c r="X144" s="26" t="str">
        <x:f>IF(A144="","",IF(O144&lt;&gt;"",(O144-H144)*24,(NOW()-H144)*24))</x:f>
      </x:c>
    </x:row>
    <x:row r="145">
      <x:c r="A145" s="20"/>
      <x:c r="B145" s="20"/>
      <x:c r="C145" s="20"/>
      <x:c r="D145" s="20"/>
      <x:c r="E145" s="20"/>
      <x:c r="F145" s="20"/>
      <x:c r="G145" s="20"/>
      <x:c r="H145" s="23"/>
      <x:c r="I145" s="20"/>
      <x:c r="J145" s="20"/>
      <x:c r="K145" s="20"/>
      <x:c r="L145" s="20"/>
      <x:c r="M145" s="20"/>
      <x:c r="N145" s="20"/>
      <x:c r="O145" s="23"/>
      <x:c r="P145" s="20"/>
      <x:c r="Q145" s="20"/>
      <x:c r="R145" s="20"/>
      <x:c r="S145" s="23"/>
      <x:c r="T145" s="20"/>
      <x:c r="U145" s="20"/>
      <x:c r="V145" s="23"/>
      <x:c r="W145" s="23"/>
      <x:c r="X145" s="26" t="str">
        <x:f>IF(A145="","",IF(O145&lt;&gt;"",(O145-H145)*24,(NOW()-H145)*24))</x:f>
      </x:c>
    </x:row>
    <x:row r="146">
      <x:c r="A146" s="20"/>
      <x:c r="B146" s="20"/>
      <x:c r="C146" s="20"/>
      <x:c r="D146" s="20"/>
      <x:c r="E146" s="20"/>
      <x:c r="F146" s="20"/>
      <x:c r="G146" s="20"/>
      <x:c r="H146" s="23"/>
      <x:c r="I146" s="20"/>
      <x:c r="J146" s="20"/>
      <x:c r="K146" s="20"/>
      <x:c r="L146" s="20"/>
      <x:c r="M146" s="20"/>
      <x:c r="N146" s="20"/>
      <x:c r="O146" s="23"/>
      <x:c r="P146" s="20"/>
      <x:c r="Q146" s="20"/>
      <x:c r="R146" s="20"/>
      <x:c r="S146" s="23"/>
      <x:c r="T146" s="20"/>
      <x:c r="U146" s="20"/>
      <x:c r="V146" s="23"/>
      <x:c r="W146" s="23"/>
      <x:c r="X146" s="26" t="str">
        <x:f>IF(A146="","",IF(O146&lt;&gt;"",(O146-H146)*24,(NOW()-H146)*24))</x:f>
      </x:c>
    </x:row>
    <x:row r="147">
      <x:c r="A147" s="20"/>
      <x:c r="B147" s="20"/>
      <x:c r="C147" s="20"/>
      <x:c r="D147" s="20"/>
      <x:c r="E147" s="20"/>
      <x:c r="F147" s="20"/>
      <x:c r="G147" s="20"/>
      <x:c r="H147" s="23"/>
      <x:c r="I147" s="20"/>
      <x:c r="J147" s="20"/>
      <x:c r="K147" s="20"/>
      <x:c r="L147" s="20"/>
      <x:c r="M147" s="20"/>
      <x:c r="N147" s="20"/>
      <x:c r="O147" s="23"/>
      <x:c r="P147" s="20"/>
      <x:c r="Q147" s="20"/>
      <x:c r="R147" s="20"/>
      <x:c r="S147" s="23"/>
      <x:c r="T147" s="20"/>
      <x:c r="U147" s="20"/>
      <x:c r="V147" s="23"/>
      <x:c r="W147" s="23"/>
      <x:c r="X147" s="26" t="str">
        <x:f>IF(A147="","",IF(O147&lt;&gt;"",(O147-H147)*24,(NOW()-H147)*24))</x:f>
      </x:c>
    </x:row>
    <x:row r="148">
      <x:c r="A148" s="20"/>
      <x:c r="B148" s="20"/>
      <x:c r="C148" s="20"/>
      <x:c r="D148" s="20"/>
      <x:c r="E148" s="20"/>
      <x:c r="F148" s="20"/>
      <x:c r="G148" s="20"/>
      <x:c r="H148" s="23"/>
      <x:c r="I148" s="20"/>
      <x:c r="J148" s="20"/>
      <x:c r="K148" s="20"/>
      <x:c r="L148" s="20"/>
      <x:c r="M148" s="20"/>
      <x:c r="N148" s="20"/>
      <x:c r="O148" s="23"/>
      <x:c r="P148" s="20"/>
      <x:c r="Q148" s="20"/>
      <x:c r="R148" s="20"/>
      <x:c r="S148" s="23"/>
      <x:c r="T148" s="20"/>
      <x:c r="U148" s="20"/>
      <x:c r="V148" s="23"/>
      <x:c r="W148" s="23"/>
      <x:c r="X148" s="26" t="str">
        <x:f>IF(A148="","",IF(O148&lt;&gt;"",(O148-H148)*24,(NOW()-H148)*24))</x:f>
      </x:c>
    </x:row>
    <x:row r="149">
      <x:c r="A149" s="20"/>
      <x:c r="B149" s="20"/>
      <x:c r="C149" s="20"/>
      <x:c r="D149" s="20"/>
      <x:c r="E149" s="20"/>
      <x:c r="F149" s="20"/>
      <x:c r="G149" s="20"/>
      <x:c r="H149" s="23"/>
      <x:c r="I149" s="20"/>
      <x:c r="J149" s="20"/>
      <x:c r="K149" s="20"/>
      <x:c r="L149" s="20"/>
      <x:c r="M149" s="20"/>
      <x:c r="N149" s="20"/>
      <x:c r="O149" s="23"/>
      <x:c r="P149" s="20"/>
      <x:c r="Q149" s="20"/>
      <x:c r="R149" s="20"/>
      <x:c r="S149" s="23"/>
      <x:c r="T149" s="20"/>
      <x:c r="U149" s="20"/>
      <x:c r="V149" s="23"/>
      <x:c r="W149" s="23"/>
      <x:c r="X149" s="26" t="str">
        <x:f>IF(A149="","",IF(O149&lt;&gt;"",(O149-H149)*24,(NOW()-H149)*24))</x:f>
      </x:c>
    </x:row>
    <x:row r="150">
      <x:c r="A150" s="20"/>
      <x:c r="B150" s="20"/>
      <x:c r="C150" s="20"/>
      <x:c r="D150" s="20"/>
      <x:c r="E150" s="20"/>
      <x:c r="F150" s="20"/>
      <x:c r="G150" s="20"/>
      <x:c r="H150" s="23"/>
      <x:c r="I150" s="20"/>
      <x:c r="J150" s="20"/>
      <x:c r="K150" s="20"/>
      <x:c r="L150" s="20"/>
      <x:c r="M150" s="20"/>
      <x:c r="N150" s="20"/>
      <x:c r="O150" s="23"/>
      <x:c r="P150" s="20"/>
      <x:c r="Q150" s="20"/>
      <x:c r="R150" s="20"/>
      <x:c r="S150" s="23"/>
      <x:c r="T150" s="20"/>
      <x:c r="U150" s="20"/>
      <x:c r="V150" s="23"/>
      <x:c r="W150" s="23"/>
      <x:c r="X150" s="26" t="str">
        <x:f>IF(A150="","",IF(O150&lt;&gt;"",(O150-H150)*24,(NOW()-H150)*24))</x:f>
      </x:c>
    </x:row>
    <x:row r="151">
      <x:c r="A151" s="20"/>
      <x:c r="B151" s="20"/>
      <x:c r="C151" s="20"/>
      <x:c r="D151" s="20"/>
      <x:c r="E151" s="20"/>
      <x:c r="F151" s="20"/>
      <x:c r="G151" s="20"/>
      <x:c r="H151" s="23"/>
      <x:c r="I151" s="20"/>
      <x:c r="J151" s="20"/>
      <x:c r="K151" s="20"/>
      <x:c r="L151" s="20"/>
      <x:c r="M151" s="20"/>
      <x:c r="N151" s="20"/>
      <x:c r="O151" s="23"/>
      <x:c r="P151" s="20"/>
      <x:c r="Q151" s="20"/>
      <x:c r="R151" s="20"/>
      <x:c r="S151" s="23"/>
      <x:c r="T151" s="20"/>
      <x:c r="U151" s="20"/>
      <x:c r="V151" s="23"/>
      <x:c r="W151" s="23"/>
      <x:c r="X151" s="26" t="str">
        <x:f>IF(A151="","",IF(O151&lt;&gt;"",(O151-H151)*24,(NOW()-H151)*24))</x:f>
      </x:c>
    </x:row>
    <x:row r="152">
      <x:c r="A152" s="20"/>
      <x:c r="B152" s="20"/>
      <x:c r="C152" s="20"/>
      <x:c r="D152" s="20"/>
      <x:c r="E152" s="20"/>
      <x:c r="F152" s="20"/>
      <x:c r="G152" s="20"/>
      <x:c r="H152" s="23"/>
      <x:c r="I152" s="20"/>
      <x:c r="J152" s="20"/>
      <x:c r="K152" s="20"/>
      <x:c r="L152" s="20"/>
      <x:c r="M152" s="20"/>
      <x:c r="N152" s="20"/>
      <x:c r="O152" s="23"/>
      <x:c r="P152" s="20"/>
      <x:c r="Q152" s="20"/>
      <x:c r="R152" s="20"/>
      <x:c r="S152" s="23"/>
      <x:c r="T152" s="20"/>
      <x:c r="U152" s="20"/>
      <x:c r="V152" s="23"/>
      <x:c r="W152" s="23"/>
      <x:c r="X152" s="26" t="str">
        <x:f>IF(A152="","",IF(O152&lt;&gt;"",(O152-H152)*24,(NOW()-H152)*24))</x:f>
      </x:c>
    </x:row>
    <x:row r="153">
      <x:c r="A153" s="20"/>
      <x:c r="B153" s="20"/>
      <x:c r="C153" s="20"/>
      <x:c r="D153" s="20"/>
      <x:c r="E153" s="20"/>
      <x:c r="F153" s="20"/>
      <x:c r="G153" s="20"/>
      <x:c r="H153" s="23"/>
      <x:c r="I153" s="20"/>
      <x:c r="J153" s="20"/>
      <x:c r="K153" s="20"/>
      <x:c r="L153" s="20"/>
      <x:c r="M153" s="20"/>
      <x:c r="N153" s="20"/>
      <x:c r="O153" s="23"/>
      <x:c r="P153" s="20"/>
      <x:c r="Q153" s="20"/>
      <x:c r="R153" s="20"/>
      <x:c r="S153" s="23"/>
      <x:c r="T153" s="20"/>
      <x:c r="U153" s="20"/>
      <x:c r="V153" s="23"/>
      <x:c r="W153" s="23"/>
      <x:c r="X153" s="26" t="str">
        <x:f>IF(A153="","",IF(O153&lt;&gt;"",(O153-H153)*24,(NOW()-H153)*24))</x:f>
      </x:c>
    </x:row>
    <x:row r="154">
      <x:c r="A154" s="20"/>
      <x:c r="B154" s="20"/>
      <x:c r="C154" s="20"/>
      <x:c r="D154" s="20"/>
      <x:c r="E154" s="20"/>
      <x:c r="F154" s="20"/>
      <x:c r="G154" s="20"/>
      <x:c r="H154" s="23"/>
      <x:c r="I154" s="20"/>
      <x:c r="J154" s="20"/>
      <x:c r="K154" s="20"/>
      <x:c r="L154" s="20"/>
      <x:c r="M154" s="20"/>
      <x:c r="N154" s="20"/>
      <x:c r="O154" s="23"/>
      <x:c r="P154" s="20"/>
      <x:c r="Q154" s="20"/>
      <x:c r="R154" s="20"/>
      <x:c r="S154" s="23"/>
      <x:c r="T154" s="20"/>
      <x:c r="U154" s="20"/>
      <x:c r="V154" s="23"/>
      <x:c r="W154" s="23"/>
      <x:c r="X154" s="26" t="str">
        <x:f>IF(A154="","",IF(O154&lt;&gt;"",(O154-H154)*24,(NOW()-H154)*24))</x:f>
      </x:c>
    </x:row>
    <x:row r="155">
      <x:c r="A155" s="20"/>
      <x:c r="B155" s="20"/>
      <x:c r="C155" s="20"/>
      <x:c r="D155" s="20"/>
      <x:c r="E155" s="20"/>
      <x:c r="F155" s="20"/>
      <x:c r="G155" s="20"/>
      <x:c r="H155" s="23"/>
      <x:c r="I155" s="20"/>
      <x:c r="J155" s="20"/>
      <x:c r="K155" s="20"/>
      <x:c r="L155" s="20"/>
      <x:c r="M155" s="20"/>
      <x:c r="N155" s="20"/>
      <x:c r="O155" s="23"/>
      <x:c r="P155" s="20"/>
      <x:c r="Q155" s="20"/>
      <x:c r="R155" s="20"/>
      <x:c r="S155" s="23"/>
      <x:c r="T155" s="20"/>
      <x:c r="U155" s="20"/>
      <x:c r="V155" s="23"/>
      <x:c r="W155" s="23"/>
      <x:c r="X155" s="26" t="str">
        <x:f>IF(A155="","",IF(O155&lt;&gt;"",(O155-H155)*24,(NOW()-H155)*24))</x:f>
      </x:c>
    </x:row>
    <x:row r="156">
      <x:c r="A156" s="20"/>
      <x:c r="B156" s="20"/>
      <x:c r="C156" s="20"/>
      <x:c r="D156" s="20"/>
      <x:c r="E156" s="20"/>
      <x:c r="F156" s="20"/>
      <x:c r="G156" s="20"/>
      <x:c r="H156" s="23"/>
      <x:c r="I156" s="20"/>
      <x:c r="J156" s="20"/>
      <x:c r="K156" s="20"/>
      <x:c r="L156" s="20"/>
      <x:c r="M156" s="20"/>
      <x:c r="N156" s="20"/>
      <x:c r="O156" s="23"/>
      <x:c r="P156" s="20"/>
      <x:c r="Q156" s="20"/>
      <x:c r="R156" s="20"/>
      <x:c r="S156" s="23"/>
      <x:c r="T156" s="20"/>
      <x:c r="U156" s="20"/>
      <x:c r="V156" s="23"/>
      <x:c r="W156" s="23"/>
      <x:c r="X156" s="26" t="str">
        <x:f>IF(A156="","",IF(O156&lt;&gt;"",(O156-H156)*24,(NOW()-H156)*24))</x:f>
      </x:c>
    </x:row>
    <x:row r="157">
      <x:c r="A157" s="20"/>
      <x:c r="B157" s="20"/>
      <x:c r="C157" s="20"/>
      <x:c r="D157" s="20"/>
      <x:c r="E157" s="20"/>
      <x:c r="F157" s="20"/>
      <x:c r="G157" s="20"/>
      <x:c r="H157" s="23"/>
      <x:c r="I157" s="20"/>
      <x:c r="J157" s="20"/>
      <x:c r="K157" s="20"/>
      <x:c r="L157" s="20"/>
      <x:c r="M157" s="20"/>
      <x:c r="N157" s="20"/>
      <x:c r="O157" s="23"/>
      <x:c r="P157" s="20"/>
      <x:c r="Q157" s="20"/>
      <x:c r="R157" s="20"/>
      <x:c r="S157" s="23"/>
      <x:c r="T157" s="20"/>
      <x:c r="U157" s="20"/>
      <x:c r="V157" s="23"/>
      <x:c r="W157" s="23"/>
      <x:c r="X157" s="26" t="str">
        <x:f>IF(A157="","",IF(O157&lt;&gt;"",(O157-H157)*24,(NOW()-H157)*24))</x:f>
      </x:c>
    </x:row>
    <x:row r="158">
      <x:c r="A158" s="20"/>
      <x:c r="B158" s="20"/>
      <x:c r="C158" s="20"/>
      <x:c r="D158" s="20"/>
      <x:c r="E158" s="20"/>
      <x:c r="F158" s="20"/>
      <x:c r="G158" s="20"/>
      <x:c r="H158" s="23"/>
      <x:c r="I158" s="20"/>
      <x:c r="J158" s="20"/>
      <x:c r="K158" s="20"/>
      <x:c r="L158" s="20"/>
      <x:c r="M158" s="20"/>
      <x:c r="N158" s="20"/>
      <x:c r="O158" s="23"/>
      <x:c r="P158" s="20"/>
      <x:c r="Q158" s="20"/>
      <x:c r="R158" s="20"/>
      <x:c r="S158" s="23"/>
      <x:c r="T158" s="20"/>
      <x:c r="U158" s="20"/>
      <x:c r="V158" s="23"/>
      <x:c r="W158" s="23"/>
      <x:c r="X158" s="26" t="str">
        <x:f>IF(A158="","",IF(O158&lt;&gt;"",(O158-H158)*24,(NOW()-H158)*24))</x:f>
      </x:c>
    </x:row>
    <x:row r="159">
      <x:c r="A159" s="20"/>
      <x:c r="B159" s="20"/>
      <x:c r="C159" s="20"/>
      <x:c r="D159" s="20"/>
      <x:c r="E159" s="20"/>
      <x:c r="F159" s="20"/>
      <x:c r="G159" s="20"/>
      <x:c r="H159" s="23"/>
      <x:c r="I159" s="20"/>
      <x:c r="J159" s="20"/>
      <x:c r="K159" s="20"/>
      <x:c r="L159" s="20"/>
      <x:c r="M159" s="20"/>
      <x:c r="N159" s="20"/>
      <x:c r="O159" s="23"/>
      <x:c r="P159" s="20"/>
      <x:c r="Q159" s="20"/>
      <x:c r="R159" s="20"/>
      <x:c r="S159" s="23"/>
      <x:c r="T159" s="20"/>
      <x:c r="U159" s="20"/>
      <x:c r="V159" s="23"/>
      <x:c r="W159" s="23"/>
      <x:c r="X159" s="26" t="str">
        <x:f>IF(A159="","",IF(O159&lt;&gt;"",(O159-H159)*24,(NOW()-H159)*24))</x:f>
      </x:c>
    </x:row>
    <x:row r="160">
      <x:c r="A160" s="20"/>
      <x:c r="B160" s="20"/>
      <x:c r="C160" s="20"/>
      <x:c r="D160" s="20"/>
      <x:c r="E160" s="20"/>
      <x:c r="F160" s="20"/>
      <x:c r="G160" s="20"/>
      <x:c r="H160" s="23"/>
      <x:c r="I160" s="20"/>
      <x:c r="J160" s="20"/>
      <x:c r="K160" s="20"/>
      <x:c r="L160" s="20"/>
      <x:c r="M160" s="20"/>
      <x:c r="N160" s="20"/>
      <x:c r="O160" s="23"/>
      <x:c r="P160" s="20"/>
      <x:c r="Q160" s="20"/>
      <x:c r="R160" s="20"/>
      <x:c r="S160" s="23"/>
      <x:c r="T160" s="20"/>
      <x:c r="U160" s="20"/>
      <x:c r="V160" s="23"/>
      <x:c r="W160" s="23"/>
      <x:c r="X160" s="26" t="str">
        <x:f>IF(A160="","",IF(O160&lt;&gt;"",(O160-H160)*24,(NOW()-H160)*24))</x:f>
      </x:c>
    </x:row>
    <x:row r="161">
      <x:c r="A161" s="20"/>
      <x:c r="B161" s="20"/>
      <x:c r="C161" s="20"/>
      <x:c r="D161" s="20"/>
      <x:c r="E161" s="20"/>
      <x:c r="F161" s="20"/>
      <x:c r="G161" s="20"/>
      <x:c r="H161" s="23"/>
      <x:c r="I161" s="20"/>
      <x:c r="J161" s="20"/>
      <x:c r="K161" s="20"/>
      <x:c r="L161" s="20"/>
      <x:c r="M161" s="20"/>
      <x:c r="N161" s="20"/>
      <x:c r="O161" s="23"/>
      <x:c r="P161" s="20"/>
      <x:c r="Q161" s="20"/>
      <x:c r="R161" s="20"/>
      <x:c r="S161" s="23"/>
      <x:c r="T161" s="20"/>
      <x:c r="U161" s="20"/>
      <x:c r="V161" s="23"/>
      <x:c r="W161" s="23"/>
      <x:c r="X161" s="26" t="str">
        <x:f>IF(A161="","",IF(O161&lt;&gt;"",(O161-H161)*24,(NOW()-H161)*24))</x:f>
      </x:c>
    </x:row>
    <x:row r="162">
      <x:c r="A162" s="20"/>
      <x:c r="B162" s="20"/>
      <x:c r="C162" s="20"/>
      <x:c r="D162" s="20"/>
      <x:c r="E162" s="20"/>
      <x:c r="F162" s="20"/>
      <x:c r="G162" s="20"/>
      <x:c r="H162" s="23"/>
      <x:c r="I162" s="20"/>
      <x:c r="J162" s="20"/>
      <x:c r="K162" s="20"/>
      <x:c r="L162" s="20"/>
      <x:c r="M162" s="20"/>
      <x:c r="N162" s="20"/>
      <x:c r="O162" s="23"/>
      <x:c r="P162" s="20"/>
      <x:c r="Q162" s="20"/>
      <x:c r="R162" s="20"/>
      <x:c r="S162" s="23"/>
      <x:c r="T162" s="20"/>
      <x:c r="U162" s="20"/>
      <x:c r="V162" s="23"/>
      <x:c r="W162" s="23"/>
      <x:c r="X162" s="26" t="str">
        <x:f>IF(A162="","",IF(O162&lt;&gt;"",(O162-H162)*24,(NOW()-H162)*24))</x:f>
      </x:c>
    </x:row>
    <x:row r="163">
      <x:c r="A163" s="20"/>
      <x:c r="B163" s="20"/>
      <x:c r="C163" s="20"/>
      <x:c r="D163" s="20"/>
      <x:c r="E163" s="20"/>
      <x:c r="F163" s="20"/>
      <x:c r="G163" s="20"/>
      <x:c r="H163" s="23"/>
      <x:c r="I163" s="20"/>
      <x:c r="J163" s="20"/>
      <x:c r="K163" s="20"/>
      <x:c r="L163" s="20"/>
      <x:c r="M163" s="20"/>
      <x:c r="N163" s="20"/>
      <x:c r="O163" s="23"/>
      <x:c r="P163" s="20"/>
      <x:c r="Q163" s="20"/>
      <x:c r="R163" s="20"/>
      <x:c r="S163" s="23"/>
      <x:c r="T163" s="20"/>
      <x:c r="U163" s="20"/>
      <x:c r="V163" s="23"/>
      <x:c r="W163" s="23"/>
      <x:c r="X163" s="26" t="str">
        <x:f>IF(A163="","",IF(O163&lt;&gt;"",(O163-H163)*24,(NOW()-H163)*24))</x:f>
      </x:c>
    </x:row>
    <x:row r="164">
      <x:c r="A164" s="20"/>
      <x:c r="B164" s="20"/>
      <x:c r="C164" s="20"/>
      <x:c r="D164" s="20"/>
      <x:c r="E164" s="20"/>
      <x:c r="F164" s="20"/>
      <x:c r="G164" s="20"/>
      <x:c r="H164" s="23"/>
      <x:c r="I164" s="20"/>
      <x:c r="J164" s="20"/>
      <x:c r="K164" s="20"/>
      <x:c r="L164" s="20"/>
      <x:c r="M164" s="20"/>
      <x:c r="N164" s="20"/>
      <x:c r="O164" s="23"/>
      <x:c r="P164" s="20"/>
      <x:c r="Q164" s="20"/>
      <x:c r="R164" s="20"/>
      <x:c r="S164" s="23"/>
      <x:c r="T164" s="20"/>
      <x:c r="U164" s="20"/>
      <x:c r="V164" s="23"/>
      <x:c r="W164" s="23"/>
      <x:c r="X164" s="26" t="str">
        <x:f>IF(A164="","",IF(O164&lt;&gt;"",(O164-H164)*24,(NOW()-H164)*24))</x:f>
      </x:c>
    </x:row>
    <x:row r="165">
      <x:c r="A165" s="20"/>
      <x:c r="B165" s="20"/>
      <x:c r="C165" s="20"/>
      <x:c r="D165" s="20"/>
      <x:c r="E165" s="20"/>
      <x:c r="F165" s="20"/>
      <x:c r="G165" s="20"/>
      <x:c r="H165" s="23"/>
      <x:c r="I165" s="20"/>
      <x:c r="J165" s="20"/>
      <x:c r="K165" s="20"/>
      <x:c r="L165" s="20"/>
      <x:c r="M165" s="20"/>
      <x:c r="N165" s="20"/>
      <x:c r="O165" s="23"/>
      <x:c r="P165" s="20"/>
      <x:c r="Q165" s="20"/>
      <x:c r="R165" s="20"/>
      <x:c r="S165" s="23"/>
      <x:c r="T165" s="20"/>
      <x:c r="U165" s="20"/>
      <x:c r="V165" s="23"/>
      <x:c r="W165" s="23"/>
      <x:c r="X165" s="26" t="str">
        <x:f>IF(A165="","",IF(O165&lt;&gt;"",(O165-H165)*24,(NOW()-H165)*24))</x:f>
      </x:c>
    </x:row>
    <x:row r="166">
      <x:c r="A166" s="20"/>
      <x:c r="B166" s="20"/>
      <x:c r="C166" s="20"/>
      <x:c r="D166" s="20"/>
      <x:c r="E166" s="20"/>
      <x:c r="F166" s="20"/>
      <x:c r="G166" s="20"/>
      <x:c r="H166" s="23"/>
      <x:c r="I166" s="20"/>
      <x:c r="J166" s="20"/>
      <x:c r="K166" s="20"/>
      <x:c r="L166" s="20"/>
      <x:c r="M166" s="20"/>
      <x:c r="N166" s="20"/>
      <x:c r="O166" s="23"/>
      <x:c r="P166" s="20"/>
      <x:c r="Q166" s="20"/>
      <x:c r="R166" s="20"/>
      <x:c r="S166" s="23"/>
      <x:c r="T166" s="20"/>
      <x:c r="U166" s="20"/>
      <x:c r="V166" s="23"/>
      <x:c r="W166" s="23"/>
      <x:c r="X166" s="26" t="str">
        <x:f>IF(A166="","",IF(O166&lt;&gt;"",(O166-H166)*24,(NOW()-H166)*24))</x:f>
      </x:c>
    </x:row>
    <x:row r="167">
      <x:c r="A167" s="20"/>
      <x:c r="B167" s="20"/>
      <x:c r="C167" s="20"/>
      <x:c r="D167" s="20"/>
      <x:c r="E167" s="20"/>
      <x:c r="F167" s="20"/>
      <x:c r="G167" s="20"/>
      <x:c r="H167" s="23"/>
      <x:c r="I167" s="20"/>
      <x:c r="J167" s="20"/>
      <x:c r="K167" s="20"/>
      <x:c r="L167" s="20"/>
      <x:c r="M167" s="20"/>
      <x:c r="N167" s="20"/>
      <x:c r="O167" s="23"/>
      <x:c r="P167" s="20"/>
      <x:c r="Q167" s="20"/>
      <x:c r="R167" s="20"/>
      <x:c r="S167" s="23"/>
      <x:c r="T167" s="20"/>
      <x:c r="U167" s="20"/>
      <x:c r="V167" s="23"/>
      <x:c r="W167" s="23"/>
      <x:c r="X167" s="26" t="str">
        <x:f>IF(A167="","",IF(O167&lt;&gt;"",(O167-H167)*24,(NOW()-H167)*24))</x:f>
      </x:c>
    </x:row>
    <x:row r="168">
      <x:c r="A168" s="20"/>
      <x:c r="B168" s="20"/>
      <x:c r="C168" s="20"/>
      <x:c r="D168" s="20"/>
      <x:c r="E168" s="20"/>
      <x:c r="F168" s="20"/>
      <x:c r="G168" s="20"/>
      <x:c r="H168" s="23"/>
      <x:c r="I168" s="20"/>
      <x:c r="J168" s="20"/>
      <x:c r="K168" s="20"/>
      <x:c r="L168" s="20"/>
      <x:c r="M168" s="20"/>
      <x:c r="N168" s="20"/>
      <x:c r="O168" s="23"/>
      <x:c r="P168" s="20"/>
      <x:c r="Q168" s="20"/>
      <x:c r="R168" s="20"/>
      <x:c r="S168" s="23"/>
      <x:c r="T168" s="20"/>
      <x:c r="U168" s="20"/>
      <x:c r="V168" s="23"/>
      <x:c r="W168" s="23"/>
      <x:c r="X168" s="26" t="str">
        <x:f>IF(A168="","",IF(O168&lt;&gt;"",(O168-H168)*24,(NOW()-H168)*24))</x:f>
      </x:c>
    </x:row>
    <x:row r="169">
      <x:c r="A169" s="20"/>
      <x:c r="B169" s="20"/>
      <x:c r="C169" s="20"/>
      <x:c r="D169" s="20"/>
      <x:c r="E169" s="20"/>
      <x:c r="F169" s="20"/>
      <x:c r="G169" s="20"/>
      <x:c r="H169" s="23"/>
      <x:c r="I169" s="20"/>
      <x:c r="J169" s="20"/>
      <x:c r="K169" s="20"/>
      <x:c r="L169" s="20"/>
      <x:c r="M169" s="20"/>
      <x:c r="N169" s="20"/>
      <x:c r="O169" s="23"/>
      <x:c r="P169" s="20"/>
      <x:c r="Q169" s="20"/>
      <x:c r="R169" s="20"/>
      <x:c r="S169" s="23"/>
      <x:c r="T169" s="20"/>
      <x:c r="U169" s="20"/>
      <x:c r="V169" s="23"/>
      <x:c r="W169" s="23"/>
      <x:c r="X169" s="26" t="str">
        <x:f>IF(A169="","",IF(O169&lt;&gt;"",(O169-H169)*24,(NOW()-H169)*24))</x:f>
      </x:c>
    </x:row>
    <x:row r="170">
      <x:c r="A170" s="20"/>
      <x:c r="B170" s="20"/>
      <x:c r="C170" s="20"/>
      <x:c r="D170" s="20"/>
      <x:c r="E170" s="20"/>
      <x:c r="F170" s="20"/>
      <x:c r="G170" s="20"/>
      <x:c r="H170" s="23"/>
      <x:c r="I170" s="20"/>
      <x:c r="J170" s="20"/>
      <x:c r="K170" s="20"/>
      <x:c r="L170" s="20"/>
      <x:c r="M170" s="20"/>
      <x:c r="N170" s="20"/>
      <x:c r="O170" s="23"/>
      <x:c r="P170" s="20"/>
      <x:c r="Q170" s="20"/>
      <x:c r="R170" s="20"/>
      <x:c r="S170" s="23"/>
      <x:c r="T170" s="20"/>
      <x:c r="U170" s="20"/>
      <x:c r="V170" s="23"/>
      <x:c r="W170" s="23"/>
      <x:c r="X170" s="26" t="str">
        <x:f>IF(A170="","",IF(O170&lt;&gt;"",(O170-H170)*24,(NOW()-H170)*24))</x:f>
      </x:c>
    </x:row>
    <x:row r="171">
      <x:c r="A171" s="20"/>
      <x:c r="B171" s="20"/>
      <x:c r="C171" s="20"/>
      <x:c r="D171" s="20"/>
      <x:c r="E171" s="20"/>
      <x:c r="F171" s="20"/>
      <x:c r="G171" s="20"/>
      <x:c r="H171" s="23"/>
      <x:c r="I171" s="20"/>
      <x:c r="J171" s="20"/>
      <x:c r="K171" s="20"/>
      <x:c r="L171" s="20"/>
      <x:c r="M171" s="20"/>
      <x:c r="N171" s="20"/>
      <x:c r="O171" s="23"/>
      <x:c r="P171" s="20"/>
      <x:c r="Q171" s="20"/>
      <x:c r="R171" s="20"/>
      <x:c r="S171" s="23"/>
      <x:c r="T171" s="20"/>
      <x:c r="U171" s="20"/>
      <x:c r="V171" s="23"/>
      <x:c r="W171" s="23"/>
      <x:c r="X171" s="26" t="str">
        <x:f>IF(A171="","",IF(O171&lt;&gt;"",(O171-H171)*24,(NOW()-H171)*24))</x:f>
      </x:c>
    </x:row>
    <x:row r="172">
      <x:c r="A172" s="20"/>
      <x:c r="B172" s="20"/>
      <x:c r="C172" s="20"/>
      <x:c r="D172" s="20"/>
      <x:c r="E172" s="20"/>
      <x:c r="F172" s="20"/>
      <x:c r="G172" s="20"/>
      <x:c r="H172" s="23"/>
      <x:c r="I172" s="20"/>
      <x:c r="J172" s="20"/>
      <x:c r="K172" s="20"/>
      <x:c r="L172" s="20"/>
      <x:c r="M172" s="20"/>
      <x:c r="N172" s="20"/>
      <x:c r="O172" s="23"/>
      <x:c r="P172" s="20"/>
      <x:c r="Q172" s="20"/>
      <x:c r="R172" s="20"/>
      <x:c r="S172" s="23"/>
      <x:c r="T172" s="20"/>
      <x:c r="U172" s="20"/>
      <x:c r="V172" s="23"/>
      <x:c r="W172" s="23"/>
      <x:c r="X172" s="26" t="str">
        <x:f>IF(A172="","",IF(O172&lt;&gt;"",(O172-H172)*24,(NOW()-H172)*24))</x:f>
      </x:c>
    </x:row>
    <x:row r="173">
      <x:c r="A173" s="20"/>
      <x:c r="B173" s="20"/>
      <x:c r="C173" s="20"/>
      <x:c r="D173" s="20"/>
      <x:c r="E173" s="20"/>
      <x:c r="F173" s="20"/>
      <x:c r="G173" s="20"/>
      <x:c r="H173" s="23"/>
      <x:c r="I173" s="20"/>
      <x:c r="J173" s="20"/>
      <x:c r="K173" s="20"/>
      <x:c r="L173" s="20"/>
      <x:c r="M173" s="20"/>
      <x:c r="N173" s="20"/>
      <x:c r="O173" s="23"/>
      <x:c r="P173" s="20"/>
      <x:c r="Q173" s="20"/>
      <x:c r="R173" s="20"/>
      <x:c r="S173" s="23"/>
      <x:c r="T173" s="20"/>
      <x:c r="U173" s="20"/>
      <x:c r="V173" s="23"/>
      <x:c r="W173" s="23"/>
      <x:c r="X173" s="26" t="str">
        <x:f>IF(A173="","",IF(O173&lt;&gt;"",(O173-H173)*24,(NOW()-H173)*24))</x:f>
      </x:c>
    </x:row>
    <x:row r="174">
      <x:c r="A174" s="20"/>
      <x:c r="B174" s="20"/>
      <x:c r="C174" s="20"/>
      <x:c r="D174" s="20"/>
      <x:c r="E174" s="20"/>
      <x:c r="F174" s="20"/>
      <x:c r="G174" s="20"/>
      <x:c r="H174" s="23"/>
      <x:c r="I174" s="20"/>
      <x:c r="J174" s="20"/>
      <x:c r="K174" s="20"/>
      <x:c r="L174" s="20"/>
      <x:c r="M174" s="20"/>
      <x:c r="N174" s="20"/>
      <x:c r="O174" s="23"/>
      <x:c r="P174" s="20"/>
      <x:c r="Q174" s="20"/>
      <x:c r="R174" s="20"/>
      <x:c r="S174" s="23"/>
      <x:c r="T174" s="20"/>
      <x:c r="U174" s="20"/>
      <x:c r="V174" s="23"/>
      <x:c r="W174" s="23"/>
      <x:c r="X174" s="26" t="str">
        <x:f>IF(A174="","",IF(O174&lt;&gt;"",(O174-H174)*24,(NOW()-H174)*24))</x:f>
      </x:c>
    </x:row>
    <x:row r="175">
      <x:c r="A175" s="20"/>
      <x:c r="B175" s="20"/>
      <x:c r="C175" s="20"/>
      <x:c r="D175" s="20"/>
      <x:c r="E175" s="20"/>
      <x:c r="F175" s="20"/>
      <x:c r="G175" s="20"/>
      <x:c r="H175" s="23"/>
      <x:c r="I175" s="20"/>
      <x:c r="J175" s="20"/>
      <x:c r="K175" s="20"/>
      <x:c r="L175" s="20"/>
      <x:c r="M175" s="20"/>
      <x:c r="N175" s="20"/>
      <x:c r="O175" s="23"/>
      <x:c r="P175" s="20"/>
      <x:c r="Q175" s="20"/>
      <x:c r="R175" s="20"/>
      <x:c r="S175" s="23"/>
      <x:c r="T175" s="20"/>
      <x:c r="U175" s="20"/>
      <x:c r="V175" s="23"/>
      <x:c r="W175" s="23"/>
      <x:c r="X175" s="26" t="str">
        <x:f>IF(A175="","",IF(O175&lt;&gt;"",(O175-H175)*24,(NOW()-H175)*24))</x:f>
      </x:c>
    </x:row>
    <x:row r="176">
      <x:c r="A176" s="20"/>
      <x:c r="B176" s="20"/>
      <x:c r="C176" s="20"/>
      <x:c r="D176" s="20"/>
      <x:c r="E176" s="20"/>
      <x:c r="F176" s="20"/>
      <x:c r="G176" s="20"/>
      <x:c r="H176" s="23"/>
      <x:c r="I176" s="20"/>
      <x:c r="J176" s="20"/>
      <x:c r="K176" s="20"/>
      <x:c r="L176" s="20"/>
      <x:c r="M176" s="20"/>
      <x:c r="N176" s="20"/>
      <x:c r="O176" s="23"/>
      <x:c r="P176" s="20"/>
      <x:c r="Q176" s="20"/>
      <x:c r="R176" s="20"/>
      <x:c r="S176" s="23"/>
      <x:c r="T176" s="20"/>
      <x:c r="U176" s="20"/>
      <x:c r="V176" s="23"/>
      <x:c r="W176" s="23"/>
      <x:c r="X176" s="26" t="str">
        <x:f>IF(A176="","",IF(O176&lt;&gt;"",(O176-H176)*24,(NOW()-H176)*24))</x:f>
      </x:c>
    </x:row>
    <x:row r="177">
      <x:c r="A177" s="20"/>
      <x:c r="B177" s="20"/>
      <x:c r="C177" s="20"/>
      <x:c r="D177" s="20"/>
      <x:c r="E177" s="20"/>
      <x:c r="F177" s="20"/>
      <x:c r="G177" s="20"/>
      <x:c r="H177" s="23"/>
      <x:c r="I177" s="20"/>
      <x:c r="J177" s="20"/>
      <x:c r="K177" s="20"/>
      <x:c r="L177" s="20"/>
      <x:c r="M177" s="20"/>
      <x:c r="N177" s="20"/>
      <x:c r="O177" s="23"/>
      <x:c r="P177" s="20"/>
      <x:c r="Q177" s="20"/>
      <x:c r="R177" s="20"/>
      <x:c r="S177" s="23"/>
      <x:c r="T177" s="20"/>
      <x:c r="U177" s="20"/>
      <x:c r="V177" s="23"/>
      <x:c r="W177" s="23"/>
      <x:c r="X177" s="26" t="str">
        <x:f>IF(A177="","",IF(O177&lt;&gt;"",(O177-H177)*24,(NOW()-H177)*24))</x:f>
      </x:c>
    </x:row>
    <x:row r="178">
      <x:c r="A178" s="20"/>
      <x:c r="B178" s="20"/>
      <x:c r="C178" s="20"/>
      <x:c r="D178" s="20"/>
      <x:c r="E178" s="20"/>
      <x:c r="F178" s="20"/>
      <x:c r="G178" s="20"/>
      <x:c r="H178" s="23"/>
      <x:c r="I178" s="20"/>
      <x:c r="J178" s="20"/>
      <x:c r="K178" s="20"/>
      <x:c r="L178" s="20"/>
      <x:c r="M178" s="20"/>
      <x:c r="N178" s="20"/>
      <x:c r="O178" s="23"/>
      <x:c r="P178" s="20"/>
      <x:c r="Q178" s="20"/>
      <x:c r="R178" s="20"/>
      <x:c r="S178" s="23"/>
      <x:c r="T178" s="20"/>
      <x:c r="U178" s="20"/>
      <x:c r="V178" s="23"/>
      <x:c r="W178" s="23"/>
      <x:c r="X178" s="26" t="str">
        <x:f>IF(A178="","",IF(O178&lt;&gt;"",(O178-H178)*24,(NOW()-H178)*24))</x:f>
      </x:c>
    </x:row>
    <x:row r="179">
      <x:c r="A179" s="20"/>
      <x:c r="B179" s="20"/>
      <x:c r="C179" s="20"/>
      <x:c r="D179" s="20"/>
      <x:c r="E179" s="20"/>
      <x:c r="F179" s="20"/>
      <x:c r="G179" s="20"/>
      <x:c r="H179" s="23"/>
      <x:c r="I179" s="20"/>
      <x:c r="J179" s="20"/>
      <x:c r="K179" s="20"/>
      <x:c r="L179" s="20"/>
      <x:c r="M179" s="20"/>
      <x:c r="N179" s="20"/>
      <x:c r="O179" s="23"/>
      <x:c r="P179" s="20"/>
      <x:c r="Q179" s="20"/>
      <x:c r="R179" s="20"/>
      <x:c r="S179" s="23"/>
      <x:c r="T179" s="20"/>
      <x:c r="U179" s="20"/>
      <x:c r="V179" s="23"/>
      <x:c r="W179" s="23"/>
      <x:c r="X179" s="26" t="str">
        <x:f>IF(A179="","",IF(O179&lt;&gt;"",(O179-H179)*24,(NOW()-H179)*24))</x:f>
      </x:c>
    </x:row>
    <x:row r="180">
      <x:c r="A180" s="20"/>
      <x:c r="B180" s="20"/>
      <x:c r="C180" s="20"/>
      <x:c r="D180" s="20"/>
      <x:c r="E180" s="20"/>
      <x:c r="F180" s="20"/>
      <x:c r="G180" s="20"/>
      <x:c r="H180" s="23"/>
      <x:c r="I180" s="20"/>
      <x:c r="J180" s="20"/>
      <x:c r="K180" s="20"/>
      <x:c r="L180" s="20"/>
      <x:c r="M180" s="20"/>
      <x:c r="N180" s="20"/>
      <x:c r="O180" s="23"/>
      <x:c r="P180" s="20"/>
      <x:c r="Q180" s="20"/>
      <x:c r="R180" s="20"/>
      <x:c r="S180" s="23"/>
      <x:c r="T180" s="20"/>
      <x:c r="U180" s="20"/>
      <x:c r="V180" s="23"/>
      <x:c r="W180" s="23"/>
      <x:c r="X180" s="26" t="str">
        <x:f>IF(A180="","",IF(O180&lt;&gt;"",(O180-H180)*24,(NOW()-H180)*24))</x:f>
      </x:c>
    </x:row>
    <x:row r="181">
      <x:c r="A181" s="20"/>
      <x:c r="B181" s="20"/>
      <x:c r="C181" s="20"/>
      <x:c r="D181" s="20"/>
      <x:c r="E181" s="20"/>
      <x:c r="F181" s="20"/>
      <x:c r="G181" s="20"/>
      <x:c r="H181" s="23"/>
      <x:c r="I181" s="20"/>
      <x:c r="J181" s="20"/>
      <x:c r="K181" s="20"/>
      <x:c r="L181" s="20"/>
      <x:c r="M181" s="20"/>
      <x:c r="N181" s="20"/>
      <x:c r="O181" s="23"/>
      <x:c r="P181" s="20"/>
      <x:c r="Q181" s="20"/>
      <x:c r="R181" s="20"/>
      <x:c r="S181" s="23"/>
      <x:c r="T181" s="20"/>
      <x:c r="U181" s="20"/>
      <x:c r="V181" s="23"/>
      <x:c r="W181" s="23"/>
      <x:c r="X181" s="26" t="str">
        <x:f>IF(A181="","",IF(O181&lt;&gt;"",(O181-H181)*24,(NOW()-H181)*24))</x:f>
      </x:c>
    </x:row>
    <x:row r="182">
      <x:c r="A182" s="20"/>
      <x:c r="B182" s="20"/>
      <x:c r="C182" s="20"/>
      <x:c r="D182" s="20"/>
      <x:c r="E182" s="20"/>
      <x:c r="F182" s="20"/>
      <x:c r="G182" s="20"/>
      <x:c r="H182" s="23"/>
      <x:c r="I182" s="20"/>
      <x:c r="J182" s="20"/>
      <x:c r="K182" s="20"/>
      <x:c r="L182" s="20"/>
      <x:c r="M182" s="20"/>
      <x:c r="N182" s="20"/>
      <x:c r="O182" s="23"/>
      <x:c r="P182" s="20"/>
      <x:c r="Q182" s="20"/>
      <x:c r="R182" s="20"/>
      <x:c r="S182" s="23"/>
      <x:c r="T182" s="20"/>
      <x:c r="U182" s="20"/>
      <x:c r="V182" s="23"/>
      <x:c r="W182" s="23"/>
      <x:c r="X182" s="26" t="str">
        <x:f>IF(A182="","",IF(O182&lt;&gt;"",(O182-H182)*24,(NOW()-H182)*24))</x:f>
      </x:c>
    </x:row>
    <x:row r="183">
      <x:c r="A183" s="20"/>
      <x:c r="B183" s="20"/>
      <x:c r="C183" s="20"/>
      <x:c r="D183" s="20"/>
      <x:c r="E183" s="20"/>
      <x:c r="F183" s="20"/>
      <x:c r="G183" s="20"/>
      <x:c r="H183" s="23"/>
      <x:c r="I183" s="20"/>
      <x:c r="J183" s="20"/>
      <x:c r="K183" s="20"/>
      <x:c r="L183" s="20"/>
      <x:c r="M183" s="20"/>
      <x:c r="N183" s="20"/>
      <x:c r="O183" s="23"/>
      <x:c r="P183" s="20"/>
      <x:c r="Q183" s="20"/>
      <x:c r="R183" s="20"/>
      <x:c r="S183" s="23"/>
      <x:c r="T183" s="20"/>
      <x:c r="U183" s="20"/>
      <x:c r="V183" s="23"/>
      <x:c r="W183" s="23"/>
      <x:c r="X183" s="26" t="str">
        <x:f>IF(A183="","",IF(O183&lt;&gt;"",(O183-H183)*24,(NOW()-H183)*24))</x:f>
      </x:c>
    </x:row>
    <x:row r="184">
      <x:c r="A184" s="20"/>
      <x:c r="B184" s="20"/>
      <x:c r="C184" s="20"/>
      <x:c r="D184" s="20"/>
      <x:c r="E184" s="20"/>
      <x:c r="F184" s="20"/>
      <x:c r="G184" s="20"/>
      <x:c r="H184" s="23"/>
      <x:c r="I184" s="20"/>
      <x:c r="J184" s="20"/>
      <x:c r="K184" s="20"/>
      <x:c r="L184" s="20"/>
      <x:c r="M184" s="20"/>
      <x:c r="N184" s="20"/>
      <x:c r="O184" s="23"/>
      <x:c r="P184" s="20"/>
      <x:c r="Q184" s="20"/>
      <x:c r="R184" s="20"/>
      <x:c r="S184" s="23"/>
      <x:c r="T184" s="20"/>
      <x:c r="U184" s="20"/>
      <x:c r="V184" s="23"/>
      <x:c r="W184" s="23"/>
      <x:c r="X184" s="26" t="str">
        <x:f>IF(A184="","",IF(O184&lt;&gt;"",(O184-H184)*24,(NOW()-H184)*24))</x:f>
      </x:c>
    </x:row>
    <x:row r="185">
      <x:c r="A185" s="20"/>
      <x:c r="B185" s="20"/>
      <x:c r="C185" s="20"/>
      <x:c r="D185" s="20"/>
      <x:c r="E185" s="20"/>
      <x:c r="F185" s="20"/>
      <x:c r="G185" s="20"/>
      <x:c r="H185" s="23"/>
      <x:c r="I185" s="20"/>
      <x:c r="J185" s="20"/>
      <x:c r="K185" s="20"/>
      <x:c r="L185" s="20"/>
      <x:c r="M185" s="20"/>
      <x:c r="N185" s="20"/>
      <x:c r="O185" s="23"/>
      <x:c r="P185" s="20"/>
      <x:c r="Q185" s="20"/>
      <x:c r="R185" s="20"/>
      <x:c r="S185" s="23"/>
      <x:c r="T185" s="20"/>
      <x:c r="U185" s="20"/>
      <x:c r="V185" s="23"/>
      <x:c r="W185" s="23"/>
      <x:c r="X185" s="26" t="str">
        <x:f>IF(A185="","",IF(O185&lt;&gt;"",(O185-H185)*24,(NOW()-H185)*24))</x:f>
      </x:c>
    </x:row>
    <x:row r="186">
      <x:c r="A186" s="20"/>
      <x:c r="B186" s="20"/>
      <x:c r="C186" s="20"/>
      <x:c r="D186" s="20"/>
      <x:c r="E186" s="20"/>
      <x:c r="F186" s="20"/>
      <x:c r="G186" s="20"/>
      <x:c r="H186" s="23"/>
      <x:c r="I186" s="20"/>
      <x:c r="J186" s="20"/>
      <x:c r="K186" s="20"/>
      <x:c r="L186" s="20"/>
      <x:c r="M186" s="20"/>
      <x:c r="N186" s="20"/>
      <x:c r="O186" s="23"/>
      <x:c r="P186" s="20"/>
      <x:c r="Q186" s="20"/>
      <x:c r="R186" s="20"/>
      <x:c r="S186" s="23"/>
      <x:c r="T186" s="20"/>
      <x:c r="U186" s="20"/>
      <x:c r="V186" s="23"/>
      <x:c r="W186" s="23"/>
      <x:c r="X186" s="26" t="str">
        <x:f>IF(A186="","",IF(O186&lt;&gt;"",(O186-H186)*24,(NOW()-H186)*24))</x:f>
      </x:c>
    </x:row>
    <x:row r="187">
      <x:c r="A187" s="20"/>
      <x:c r="B187" s="20"/>
      <x:c r="C187" s="20"/>
      <x:c r="D187" s="20"/>
      <x:c r="E187" s="20"/>
      <x:c r="F187" s="20"/>
      <x:c r="G187" s="20"/>
      <x:c r="H187" s="23"/>
      <x:c r="I187" s="20"/>
      <x:c r="J187" s="20"/>
      <x:c r="K187" s="20"/>
      <x:c r="L187" s="20"/>
      <x:c r="M187" s="20"/>
      <x:c r="N187" s="20"/>
      <x:c r="O187" s="23"/>
      <x:c r="P187" s="20"/>
      <x:c r="Q187" s="20"/>
      <x:c r="R187" s="20"/>
      <x:c r="S187" s="23"/>
      <x:c r="T187" s="20"/>
      <x:c r="U187" s="20"/>
      <x:c r="V187" s="23"/>
      <x:c r="W187" s="23"/>
      <x:c r="X187" s="26" t="str">
        <x:f>IF(A187="","",IF(O187&lt;&gt;"",(O187-H187)*24,(NOW()-H187)*24))</x:f>
      </x:c>
    </x:row>
    <x:row r="188">
      <x:c r="A188" s="20"/>
      <x:c r="B188" s="20"/>
      <x:c r="C188" s="20"/>
      <x:c r="D188" s="20"/>
      <x:c r="E188" s="20"/>
      <x:c r="F188" s="20"/>
      <x:c r="G188" s="20"/>
      <x:c r="H188" s="23"/>
      <x:c r="I188" s="20"/>
      <x:c r="J188" s="20"/>
      <x:c r="K188" s="20"/>
      <x:c r="L188" s="20"/>
      <x:c r="M188" s="20"/>
      <x:c r="N188" s="20"/>
      <x:c r="O188" s="23"/>
      <x:c r="P188" s="20"/>
      <x:c r="Q188" s="20"/>
      <x:c r="R188" s="20"/>
      <x:c r="S188" s="23"/>
      <x:c r="T188" s="20"/>
      <x:c r="U188" s="20"/>
      <x:c r="V188" s="23"/>
      <x:c r="W188" s="23"/>
      <x:c r="X188" s="26" t="str">
        <x:f>IF(A188="","",IF(O188&lt;&gt;"",(O188-H188)*24,(NOW()-H188)*24))</x:f>
      </x:c>
    </x:row>
    <x:row r="189">
      <x:c r="A189" s="20"/>
      <x:c r="B189" s="20"/>
      <x:c r="C189" s="20"/>
      <x:c r="D189" s="20"/>
      <x:c r="E189" s="20"/>
      <x:c r="F189" s="20"/>
      <x:c r="G189" s="20"/>
      <x:c r="H189" s="23"/>
      <x:c r="I189" s="20"/>
      <x:c r="J189" s="20"/>
      <x:c r="K189" s="20"/>
      <x:c r="L189" s="20"/>
      <x:c r="M189" s="20"/>
      <x:c r="N189" s="20"/>
      <x:c r="O189" s="23"/>
      <x:c r="P189" s="20"/>
      <x:c r="Q189" s="20"/>
      <x:c r="R189" s="20"/>
      <x:c r="S189" s="23"/>
      <x:c r="T189" s="20"/>
      <x:c r="U189" s="20"/>
      <x:c r="V189" s="23"/>
      <x:c r="W189" s="23"/>
      <x:c r="X189" s="26" t="str">
        <x:f>IF(A189="","",IF(O189&lt;&gt;"",(O189-H189)*24,(NOW()-H189)*24))</x:f>
      </x:c>
    </x:row>
    <x:row r="190">
      <x:c r="A190" s="20"/>
      <x:c r="B190" s="20"/>
      <x:c r="C190" s="20"/>
      <x:c r="D190" s="20"/>
      <x:c r="E190" s="20"/>
      <x:c r="F190" s="20"/>
      <x:c r="G190" s="20"/>
      <x:c r="H190" s="23"/>
      <x:c r="I190" s="20"/>
      <x:c r="J190" s="20"/>
      <x:c r="K190" s="20"/>
      <x:c r="L190" s="20"/>
      <x:c r="M190" s="20"/>
      <x:c r="N190" s="20"/>
      <x:c r="O190" s="23"/>
      <x:c r="P190" s="20"/>
      <x:c r="Q190" s="20"/>
      <x:c r="R190" s="20"/>
      <x:c r="S190" s="23"/>
      <x:c r="T190" s="20"/>
      <x:c r="U190" s="20"/>
      <x:c r="V190" s="23"/>
      <x:c r="W190" s="23"/>
      <x:c r="X190" s="26" t="str">
        <x:f>IF(A190="","",IF(O190&lt;&gt;"",(O190-H190)*24,(NOW()-H190)*24))</x:f>
      </x:c>
    </x:row>
    <x:row r="191">
      <x:c r="A191" s="20"/>
      <x:c r="B191" s="20"/>
      <x:c r="C191" s="20"/>
      <x:c r="D191" s="20"/>
      <x:c r="E191" s="20"/>
      <x:c r="F191" s="20"/>
      <x:c r="G191" s="20"/>
      <x:c r="H191" s="23"/>
      <x:c r="I191" s="20"/>
      <x:c r="J191" s="20"/>
      <x:c r="K191" s="20"/>
      <x:c r="L191" s="20"/>
      <x:c r="M191" s="20"/>
      <x:c r="N191" s="20"/>
      <x:c r="O191" s="23"/>
      <x:c r="P191" s="20"/>
      <x:c r="Q191" s="20"/>
      <x:c r="R191" s="20"/>
      <x:c r="S191" s="23"/>
      <x:c r="T191" s="20"/>
      <x:c r="U191" s="20"/>
      <x:c r="V191" s="23"/>
      <x:c r="W191" s="23"/>
      <x:c r="X191" s="26" t="str">
        <x:f>IF(A191="","",IF(O191&lt;&gt;"",(O191-H191)*24,(NOW()-H191)*24))</x:f>
      </x:c>
    </x:row>
    <x:row r="192">
      <x:c r="A192" s="20"/>
      <x:c r="B192" s="20"/>
      <x:c r="C192" s="20"/>
      <x:c r="D192" s="20"/>
      <x:c r="E192" s="20"/>
      <x:c r="F192" s="20"/>
      <x:c r="G192" s="20"/>
      <x:c r="H192" s="23"/>
      <x:c r="I192" s="20"/>
      <x:c r="J192" s="20"/>
      <x:c r="K192" s="20"/>
      <x:c r="L192" s="20"/>
      <x:c r="M192" s="20"/>
      <x:c r="N192" s="20"/>
      <x:c r="O192" s="23"/>
      <x:c r="P192" s="20"/>
      <x:c r="Q192" s="20"/>
      <x:c r="R192" s="20"/>
      <x:c r="S192" s="23"/>
      <x:c r="T192" s="20"/>
      <x:c r="U192" s="20"/>
      <x:c r="V192" s="23"/>
      <x:c r="W192" s="23"/>
      <x:c r="X192" s="26" t="str">
        <x:f>IF(A192="","",IF(O192&lt;&gt;"",(O192-H192)*24,(NOW()-H192)*24))</x:f>
      </x:c>
    </x:row>
    <x:row r="193">
      <x:c r="A193" s="20"/>
      <x:c r="B193" s="20"/>
      <x:c r="C193" s="20"/>
      <x:c r="D193" s="20"/>
      <x:c r="E193" s="20"/>
      <x:c r="F193" s="20"/>
      <x:c r="G193" s="20"/>
      <x:c r="H193" s="23"/>
      <x:c r="I193" s="20"/>
      <x:c r="J193" s="20"/>
      <x:c r="K193" s="20"/>
      <x:c r="L193" s="20"/>
      <x:c r="M193" s="20"/>
      <x:c r="N193" s="20"/>
      <x:c r="O193" s="23"/>
      <x:c r="P193" s="20"/>
      <x:c r="Q193" s="20"/>
      <x:c r="R193" s="20"/>
      <x:c r="S193" s="23"/>
      <x:c r="T193" s="20"/>
      <x:c r="U193" s="20"/>
      <x:c r="V193" s="23"/>
      <x:c r="W193" s="23"/>
      <x:c r="X193" s="26" t="str">
        <x:f>IF(A193="","",IF(O193&lt;&gt;"",(O193-H193)*24,(NOW()-H193)*24))</x:f>
      </x:c>
    </x:row>
    <x:row r="194">
      <x:c r="A194" s="20"/>
      <x:c r="B194" s="20"/>
      <x:c r="C194" s="20"/>
      <x:c r="D194" s="20"/>
      <x:c r="E194" s="20"/>
      <x:c r="F194" s="20"/>
      <x:c r="G194" s="20"/>
      <x:c r="H194" s="23"/>
      <x:c r="I194" s="20"/>
      <x:c r="J194" s="20"/>
      <x:c r="K194" s="20"/>
      <x:c r="L194" s="20"/>
      <x:c r="M194" s="20"/>
      <x:c r="N194" s="20"/>
      <x:c r="O194" s="23"/>
      <x:c r="P194" s="20"/>
      <x:c r="Q194" s="20"/>
      <x:c r="R194" s="20"/>
      <x:c r="S194" s="23"/>
      <x:c r="T194" s="20"/>
      <x:c r="U194" s="20"/>
      <x:c r="V194" s="23"/>
      <x:c r="W194" s="23"/>
      <x:c r="X194" s="26" t="str">
        <x:f>IF(A194="","",IF(O194&lt;&gt;"",(O194-H194)*24,(NOW()-H194)*24))</x:f>
      </x:c>
    </x:row>
    <x:row r="195">
      <x:c r="A195" s="20"/>
      <x:c r="B195" s="20"/>
      <x:c r="C195" s="20"/>
      <x:c r="D195" s="20"/>
      <x:c r="E195" s="20"/>
      <x:c r="F195" s="20"/>
      <x:c r="G195" s="20"/>
      <x:c r="H195" s="23"/>
      <x:c r="I195" s="20"/>
      <x:c r="J195" s="20"/>
      <x:c r="K195" s="20"/>
      <x:c r="L195" s="20"/>
      <x:c r="M195" s="20"/>
      <x:c r="N195" s="20"/>
      <x:c r="O195" s="23"/>
      <x:c r="P195" s="20"/>
      <x:c r="Q195" s="20"/>
      <x:c r="R195" s="20"/>
      <x:c r="S195" s="23"/>
      <x:c r="T195" s="20"/>
      <x:c r="U195" s="20"/>
      <x:c r="V195" s="23"/>
      <x:c r="W195" s="23"/>
      <x:c r="X195" s="26" t="str">
        <x:f>IF(A195="","",IF(O195&lt;&gt;"",(O195-H195)*24,(NOW()-H195)*24))</x:f>
      </x:c>
    </x:row>
    <x:row r="196">
      <x:c r="A196" s="20"/>
      <x:c r="B196" s="20"/>
      <x:c r="C196" s="20"/>
      <x:c r="D196" s="20"/>
      <x:c r="E196" s="20"/>
      <x:c r="F196" s="20"/>
      <x:c r="G196" s="20"/>
      <x:c r="H196" s="23"/>
      <x:c r="I196" s="20"/>
      <x:c r="J196" s="20"/>
      <x:c r="K196" s="20"/>
      <x:c r="L196" s="20"/>
      <x:c r="M196" s="20"/>
      <x:c r="N196" s="20"/>
      <x:c r="O196" s="23"/>
      <x:c r="P196" s="20"/>
      <x:c r="Q196" s="20"/>
      <x:c r="R196" s="20"/>
      <x:c r="S196" s="23"/>
      <x:c r="T196" s="20"/>
      <x:c r="U196" s="20"/>
      <x:c r="V196" s="23"/>
      <x:c r="W196" s="23"/>
      <x:c r="X196" s="26" t="str">
        <x:f>IF(A196="","",IF(O196&lt;&gt;"",(O196-H196)*24,(NOW()-H196)*24))</x:f>
      </x:c>
    </x:row>
    <x:row r="197">
      <x:c r="A197" s="20"/>
      <x:c r="B197" s="20"/>
      <x:c r="C197" s="20"/>
      <x:c r="D197" s="20"/>
      <x:c r="E197" s="20"/>
      <x:c r="F197" s="20"/>
      <x:c r="G197" s="20"/>
      <x:c r="H197" s="23"/>
      <x:c r="I197" s="20"/>
      <x:c r="J197" s="20"/>
      <x:c r="K197" s="20"/>
      <x:c r="L197" s="20"/>
      <x:c r="M197" s="20"/>
      <x:c r="N197" s="20"/>
      <x:c r="O197" s="23"/>
      <x:c r="P197" s="20"/>
      <x:c r="Q197" s="20"/>
      <x:c r="R197" s="20"/>
      <x:c r="S197" s="23"/>
      <x:c r="T197" s="20"/>
      <x:c r="U197" s="20"/>
      <x:c r="V197" s="23"/>
      <x:c r="W197" s="23"/>
      <x:c r="X197" s="26" t="str">
        <x:f>IF(A197="","",IF(O197&lt;&gt;"",(O197-H197)*24,(NOW()-H197)*24))</x:f>
      </x:c>
    </x:row>
    <x:row r="198">
      <x:c r="A198" s="20"/>
      <x:c r="B198" s="20"/>
      <x:c r="C198" s="20"/>
      <x:c r="D198" s="20"/>
      <x:c r="E198" s="20"/>
      <x:c r="F198" s="20"/>
      <x:c r="G198" s="20"/>
      <x:c r="H198" s="23"/>
      <x:c r="I198" s="20"/>
      <x:c r="J198" s="20"/>
      <x:c r="K198" s="20"/>
      <x:c r="L198" s="20"/>
      <x:c r="M198" s="20"/>
      <x:c r="N198" s="20"/>
      <x:c r="O198" s="23"/>
      <x:c r="P198" s="20"/>
      <x:c r="Q198" s="20"/>
      <x:c r="R198" s="20"/>
      <x:c r="S198" s="23"/>
      <x:c r="T198" s="20"/>
      <x:c r="U198" s="20"/>
      <x:c r="V198" s="23"/>
      <x:c r="W198" s="23"/>
      <x:c r="X198" s="26" t="str">
        <x:f>IF(A198="","",IF(O198&lt;&gt;"",(O198-H198)*24,(NOW()-H198)*24))</x:f>
      </x:c>
    </x:row>
    <x:row r="199">
      <x:c r="A199" s="20"/>
      <x:c r="B199" s="20"/>
      <x:c r="C199" s="20"/>
      <x:c r="D199" s="20"/>
      <x:c r="E199" s="20"/>
      <x:c r="F199" s="20"/>
      <x:c r="G199" s="20"/>
      <x:c r="H199" s="23"/>
      <x:c r="I199" s="20"/>
      <x:c r="J199" s="20"/>
      <x:c r="K199" s="20"/>
      <x:c r="L199" s="20"/>
      <x:c r="M199" s="20"/>
      <x:c r="N199" s="20"/>
      <x:c r="O199" s="23"/>
      <x:c r="P199" s="20"/>
      <x:c r="Q199" s="20"/>
      <x:c r="R199" s="20"/>
      <x:c r="S199" s="23"/>
      <x:c r="T199" s="20"/>
      <x:c r="U199" s="20"/>
      <x:c r="V199" s="23"/>
      <x:c r="W199" s="23"/>
      <x:c r="X199" s="26" t="str">
        <x:f>IF(A199="","",IF(O199&lt;&gt;"",(O199-H199)*24,(NOW()-H199)*24))</x:f>
      </x:c>
    </x:row>
    <x:row r="200">
      <x:c r="A200" s="20"/>
      <x:c r="B200" s="20"/>
      <x:c r="C200" s="20"/>
      <x:c r="D200" s="20"/>
      <x:c r="E200" s="20"/>
      <x:c r="F200" s="20"/>
      <x:c r="G200" s="20"/>
      <x:c r="H200" s="23"/>
      <x:c r="I200" s="20"/>
      <x:c r="J200" s="20"/>
      <x:c r="K200" s="20"/>
      <x:c r="L200" s="20"/>
      <x:c r="M200" s="20"/>
      <x:c r="N200" s="20"/>
      <x:c r="O200" s="23"/>
      <x:c r="P200" s="20"/>
      <x:c r="Q200" s="20"/>
      <x:c r="R200" s="20"/>
      <x:c r="S200" s="23"/>
      <x:c r="T200" s="20"/>
      <x:c r="U200" s="20"/>
      <x:c r="V200" s="23"/>
      <x:c r="W200" s="23"/>
      <x:c r="X200" s="26" t="str">
        <x:f>IF(A200="","",IF(O200&lt;&gt;"",(O200-H200)*24,(NOW()-H200)*24))</x:f>
      </x:c>
    </x:row>
    <x:row r="201">
      <x:c r="A201" s="20"/>
      <x:c r="B201" s="20"/>
      <x:c r="C201" s="20"/>
      <x:c r="D201" s="20"/>
      <x:c r="E201" s="20"/>
      <x:c r="F201" s="20"/>
      <x:c r="G201" s="20"/>
      <x:c r="H201" s="23"/>
      <x:c r="I201" s="20"/>
      <x:c r="J201" s="20"/>
      <x:c r="K201" s="20"/>
      <x:c r="L201" s="20"/>
      <x:c r="M201" s="20"/>
      <x:c r="N201" s="20"/>
      <x:c r="O201" s="23"/>
      <x:c r="P201" s="20"/>
      <x:c r="Q201" s="20"/>
      <x:c r="R201" s="20"/>
      <x:c r="S201" s="23"/>
      <x:c r="T201" s="20"/>
      <x:c r="U201" s="20"/>
      <x:c r="V201" s="23"/>
      <x:c r="W201" s="23"/>
      <x:c r="X201" s="26" t="str">
        <x:f>IF(A201="","",IF(O201&lt;&gt;"",(O201-H201)*24,(NOW()-H201)*24))</x:f>
      </x:c>
    </x:row>
    <x:row r="202">
      <x:c r="A202" s="20"/>
      <x:c r="B202" s="20"/>
      <x:c r="C202" s="20"/>
      <x:c r="D202" s="20"/>
      <x:c r="E202" s="20"/>
      <x:c r="F202" s="20"/>
      <x:c r="G202" s="20"/>
      <x:c r="H202" s="23"/>
      <x:c r="I202" s="20"/>
      <x:c r="J202" s="20"/>
      <x:c r="K202" s="20"/>
      <x:c r="L202" s="20"/>
      <x:c r="M202" s="20"/>
      <x:c r="N202" s="20"/>
      <x:c r="O202" s="23"/>
      <x:c r="P202" s="20"/>
      <x:c r="Q202" s="20"/>
      <x:c r="R202" s="20"/>
      <x:c r="S202" s="23"/>
      <x:c r="T202" s="20"/>
      <x:c r="U202" s="20"/>
      <x:c r="V202" s="23"/>
      <x:c r="W202" s="23"/>
      <x:c r="X202" s="26" t="str">
        <x:f>IF(A202="","",IF(O202&lt;&gt;"",(O202-H202)*24,(NOW()-H202)*24))</x:f>
      </x:c>
    </x:row>
    <x:row r="203">
      <x:c r="A203" s="20"/>
      <x:c r="B203" s="20"/>
      <x:c r="C203" s="20"/>
      <x:c r="D203" s="20"/>
      <x:c r="E203" s="20"/>
      <x:c r="F203" s="20"/>
      <x:c r="G203" s="20"/>
      <x:c r="H203" s="23"/>
      <x:c r="I203" s="20"/>
      <x:c r="J203" s="20"/>
      <x:c r="K203" s="20"/>
      <x:c r="L203" s="20"/>
      <x:c r="M203" s="20"/>
      <x:c r="N203" s="20"/>
      <x:c r="O203" s="23"/>
      <x:c r="P203" s="20"/>
      <x:c r="Q203" s="20"/>
      <x:c r="R203" s="20"/>
      <x:c r="S203" s="23"/>
      <x:c r="T203" s="20"/>
      <x:c r="U203" s="20"/>
      <x:c r="V203" s="23"/>
      <x:c r="W203" s="23"/>
      <x:c r="X203" s="26" t="str">
        <x:f>IF(A203="","",IF(O203&lt;&gt;"",(O203-H203)*24,(NOW()-H203)*24))</x:f>
      </x:c>
    </x:row>
    <x:row r="204">
      <x:c r="A204" s="21"/>
      <x:c r="B204" s="21"/>
      <x:c r="C204" s="21"/>
      <x:c r="D204" s="21"/>
      <x:c r="E204" s="21"/>
      <x:c r="F204" s="21"/>
      <x:c r="G204" s="21"/>
      <x:c r="H204" s="24"/>
      <x:c r="I204" s="21"/>
      <x:c r="J204" s="21"/>
      <x:c r="K204" s="21"/>
      <x:c r="L204" s="21"/>
      <x:c r="M204" s="21"/>
      <x:c r="N204" s="21"/>
      <x:c r="O204" s="24"/>
      <x:c r="P204" s="21"/>
      <x:c r="Q204" s="21"/>
      <x:c r="R204" s="21"/>
      <x:c r="S204" s="24"/>
      <x:c r="T204" s="21"/>
      <x:c r="U204" s="21"/>
      <x:c r="V204" s="24"/>
      <x:c r="W204" s="24"/>
      <x:c r="X204" s="27" t="str">
        <x:f>IF(A204="","",IF(O204&lt;&gt;"",(O204-H204)*24,(NOW()-H204)*24))</x:f>
      </x:c>
    </x:row>
  </x:sheetData>
  <x:mergeCells>
    <x:mergeCell ref="A1:X1"/>
    <x:mergeCell ref="A2:X2"/>
  </x:mergeCells>
  <x:conditionalFormatting sqref="A5:X204">
    <x:cfRule type="expression" dxfId="24" priority="1">
      <x:formula>OR($F5="Open",$F5="Blocked",$F5="Failed",$F5="Rejected",$F5="Not Authorised")</x:formula>
    </x:cfRule>
    <x:cfRule type="expression" dxfId="25" priority="2">
      <x:formula>OR($F5="Approved",$F5="Passed",$F5="Closed",$F5="Authorised")</x:formula>
    </x:cfRule>
    <x:cfRule type="expression" dxfId="26" priority="3">
      <x:formula>OR($F5="Pending",$F5="In Progress",$F5="Investigating",$F5="Conditional")</x:formula>
    </x:cfRule>
  </x:conditionalFormatting>
  <x:dataValidations count="5">
    <x:dataValidation type="list" sqref="D5:D204">
      <x:formula1>"Local,Development,Staging,Production"</x:formula1>
    </x:dataValidation>
    <x:dataValidation type="list" sqref="E5:E204">
      <x:formula1>"Critical,Major,Moderate,Minor"</x:formula1>
    </x:dataValidation>
    <x:dataValidation type="list" sqref="F5:F204">
      <x:formula1>"Open,Investigating,Mitigating,Monitoring,Resolved,Closed"</x:formula1>
    </x:dataValidation>
    <x:dataValidation type="list" sqref="Q5:Q204">
      <x:formula1>"Yes,No"</x:formula1>
    </x:dataValidation>
    <x:dataValidation type="list" sqref="R5:R204">
      <x:formula1>"Not Required,Pending Review,Required,Completed"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3cdff69b0dd4a56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0" hidden="0" customWidth="1"/>
    <x:col min="5" max="5" width="18" hidden="0" customWidth="1"/>
    <x:col min="6" max="6" width="26" hidden="0" customWidth="1"/>
    <x:col min="7" max="7" width="26" hidden="0" customWidth="1"/>
    <x:col min="8" max="8" width="18" hidden="0" customWidth="1"/>
    <x:col min="9" max="9" width="36" hidden="0" customWidth="1"/>
    <x:col min="10" max="10" width="18" hidden="0" customWidth="1"/>
    <x:col min="11" max="11" width="18" hidden="0" customWidth="1"/>
    <x:col min="12" max="12" width="14" hidden="0" customWidth="1"/>
    <x:col min="13" max="13" width="18" hidden="0" customWidth="1"/>
    <x:col min="14" max="14" width="18" hidden="0" customWidth="1"/>
    <x:col min="15" max="15" width="14" hidden="0" customWidth="1"/>
    <x:col min="16" max="16" width="18" hidden="0" customWidth="1"/>
    <x:col min="17" max="17" width="20" hidden="0" customWidth="1"/>
    <x:col min="18" max="18" width="26" hidden="0" customWidth="1"/>
    <x:col min="19" max="19" width="30" hidden="0" customWidth="1"/>
    <x:col min="20" max="20" width="14" hidden="0" customWidth="1"/>
    <x:col min="21" max="21" width="12" hidden="0" customWidth="1"/>
  </x:cols>
  <x:sheetData>
    <x:row r="1" ht="34" customHeight="1">
      <x:c r="A1" s="3" t="str">
        <x:v>EVIDENCE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</x:row>
    <x:row r="2" ht="28" customHeight="1">
      <x:c r="A2" s="7" t="str">
        <x:v>Durable proof supporting acceptance, approval and release. Verification is separate from submission.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  <x:c r="R2" s="7"/>
      <x:c r="S2" s="7"/>
      <x:c r="T2" s="7"/>
      <x:c r="U2" s="7"/>
    </x:row>
    <x:row r="4" ht="32" customHeight="1">
      <x:c r="A4" s="12" t="str">
        <x:v>Evidence ID*</x:v>
      </x:c>
      <x:c r="B4" s="12" t="str">
        <x:v>Candidate ID*</x:v>
      </x:c>
      <x:c r="C4" s="12" t="str">
        <x:v>Event ID</x:v>
      </x:c>
      <x:c r="D4" s="12" t="str">
        <x:v>Gate</x:v>
      </x:c>
      <x:c r="E4" s="12" t="str">
        <x:v>Evidence Type*</x:v>
      </x:c>
      <x:c r="F4" s="12" t="str">
        <x:v>Title*</x:v>
      </x:c>
      <x:c r="G4" s="12" t="str">
        <x:v>Capability / Requirement*</x:v>
      </x:c>
      <x:c r="H4" s="12" t="str">
        <x:v>Source / Tool*</x:v>
      </x:c>
      <x:c r="I4" s="12" t="str">
        <x:v>Location / Link*</x:v>
      </x:c>
      <x:c r="J4" s="12" t="str">
        <x:v>Captured At*</x:v>
      </x:c>
      <x:c r="K4" s="12" t="str">
        <x:v>Submitted By*</x:v>
      </x:c>
      <x:c r="L4" s="12" t="str">
        <x:v>Status*</x:v>
      </x:c>
      <x:c r="M4" s="12" t="str">
        <x:v>Verified By</x:v>
      </x:c>
      <x:c r="N4" s="12" t="str">
        <x:v>Verified At</x:v>
      </x:c>
      <x:c r="O4" s="12" t="str">
        <x:v>Validity Ends</x:v>
      </x:c>
      <x:c r="P4" s="12" t="str">
        <x:v>Contains Personal Data?*</x:v>
      </x:c>
      <x:c r="Q4" s="12" t="str">
        <x:v>Access Classification*</x:v>
      </x:c>
      <x:c r="R4" s="12" t="str">
        <x:v>Related Record IDs</x:v>
      </x:c>
      <x:c r="S4" s="12" t="str">
        <x:v>Notes</x:v>
      </x:c>
      <x:c r="T4" s="12" t="str">
        <x:v>Last Updated*</x:v>
      </x:c>
      <x:c r="U4" s="12" t="str">
        <x:v>Stale?</x:v>
      </x:c>
    </x:row>
    <x:row r="5">
      <x:c r="A5" s="19"/>
      <x:c r="B5" s="19"/>
      <x:c r="C5" s="19"/>
      <x:c r="D5" s="19"/>
      <x:c r="E5" s="19"/>
      <x:c r="F5" s="19"/>
      <x:c r="G5" s="19"/>
      <x:c r="H5" s="19"/>
      <x:c r="I5" s="19"/>
      <x:c r="J5" s="22"/>
      <x:c r="K5" s="19"/>
      <x:c r="L5" s="19"/>
      <x:c r="M5" s="19"/>
      <x:c r="N5" s="22"/>
      <x:c r="O5" s="22"/>
      <x:c r="P5" s="19"/>
      <x:c r="Q5" s="19"/>
      <x:c r="R5" s="19"/>
      <x:c r="S5" s="19"/>
      <x:c r="T5" s="22"/>
      <x:c r="U5" s="19" t="str">
        <x:f>IF(A5="","",IF(AND(O5&lt;&gt;"",O5&lt;TODAY()),"YES","NO"))</x:f>
      </x:c>
    </x:row>
    <x:row r="6">
      <x:c r="A6" s="20"/>
      <x:c r="B6" s="20"/>
      <x:c r="C6" s="20"/>
      <x:c r="D6" s="20"/>
      <x:c r="E6" s="20"/>
      <x:c r="F6" s="20"/>
      <x:c r="G6" s="20"/>
      <x:c r="H6" s="20"/>
      <x:c r="I6" s="20"/>
      <x:c r="J6" s="23"/>
      <x:c r="K6" s="20"/>
      <x:c r="L6" s="20"/>
      <x:c r="M6" s="20"/>
      <x:c r="N6" s="23"/>
      <x:c r="O6" s="23"/>
      <x:c r="P6" s="20"/>
      <x:c r="Q6" s="20"/>
      <x:c r="R6" s="20"/>
      <x:c r="S6" s="20"/>
      <x:c r="T6" s="23"/>
      <x:c r="U6" s="20" t="str">
        <x:f>IF(A6="","",IF(AND(O6&lt;&gt;"",O6&lt;TODAY()),"YES","NO"))</x:f>
      </x:c>
    </x:row>
    <x:row r="7">
      <x:c r="A7" s="20"/>
      <x:c r="B7" s="20"/>
      <x:c r="C7" s="20"/>
      <x:c r="D7" s="20"/>
      <x:c r="E7" s="20"/>
      <x:c r="F7" s="20"/>
      <x:c r="G7" s="20"/>
      <x:c r="H7" s="20"/>
      <x:c r="I7" s="20"/>
      <x:c r="J7" s="23"/>
      <x:c r="K7" s="20"/>
      <x:c r="L7" s="20"/>
      <x:c r="M7" s="20"/>
      <x:c r="N7" s="23"/>
      <x:c r="O7" s="23"/>
      <x:c r="P7" s="20"/>
      <x:c r="Q7" s="20"/>
      <x:c r="R7" s="20"/>
      <x:c r="S7" s="20"/>
      <x:c r="T7" s="23"/>
      <x:c r="U7" s="20" t="str">
        <x:f>IF(A7="","",IF(AND(O7&lt;&gt;"",O7&lt;TODAY()),"YES","NO"))</x:f>
      </x:c>
    </x:row>
    <x:row r="8">
      <x:c r="A8" s="20"/>
      <x:c r="B8" s="20"/>
      <x:c r="C8" s="20"/>
      <x:c r="D8" s="20"/>
      <x:c r="E8" s="20"/>
      <x:c r="F8" s="20"/>
      <x:c r="G8" s="20"/>
      <x:c r="H8" s="20"/>
      <x:c r="I8" s="20"/>
      <x:c r="J8" s="23"/>
      <x:c r="K8" s="20"/>
      <x:c r="L8" s="20"/>
      <x:c r="M8" s="20"/>
      <x:c r="N8" s="23"/>
      <x:c r="O8" s="23"/>
      <x:c r="P8" s="20"/>
      <x:c r="Q8" s="20"/>
      <x:c r="R8" s="20"/>
      <x:c r="S8" s="20"/>
      <x:c r="T8" s="23"/>
      <x:c r="U8" s="20" t="str">
        <x:f>IF(A8="","",IF(AND(O8&lt;&gt;"",O8&lt;TODAY()),"YES","NO"))</x:f>
      </x:c>
    </x:row>
    <x:row r="9">
      <x:c r="A9" s="20"/>
      <x:c r="B9" s="20"/>
      <x:c r="C9" s="20"/>
      <x:c r="D9" s="20"/>
      <x:c r="E9" s="20"/>
      <x:c r="F9" s="20"/>
      <x:c r="G9" s="20"/>
      <x:c r="H9" s="20"/>
      <x:c r="I9" s="20"/>
      <x:c r="J9" s="23"/>
      <x:c r="K9" s="20"/>
      <x:c r="L9" s="20"/>
      <x:c r="M9" s="20"/>
      <x:c r="N9" s="23"/>
      <x:c r="O9" s="23"/>
      <x:c r="P9" s="20"/>
      <x:c r="Q9" s="20"/>
      <x:c r="R9" s="20"/>
      <x:c r="S9" s="20"/>
      <x:c r="T9" s="23"/>
      <x:c r="U9" s="20" t="str">
        <x:f>IF(A9="","",IF(AND(O9&lt;&gt;"",O9&lt;TODAY()),"YES","NO"))</x:f>
      </x:c>
    </x:row>
    <x:row r="10">
      <x:c r="A10" s="20"/>
      <x:c r="B10" s="20"/>
      <x:c r="C10" s="20"/>
      <x:c r="D10" s="20"/>
      <x:c r="E10" s="20"/>
      <x:c r="F10" s="20"/>
      <x:c r="G10" s="20"/>
      <x:c r="H10" s="20"/>
      <x:c r="I10" s="20"/>
      <x:c r="J10" s="23"/>
      <x:c r="K10" s="20"/>
      <x:c r="L10" s="20"/>
      <x:c r="M10" s="20"/>
      <x:c r="N10" s="23"/>
      <x:c r="O10" s="23"/>
      <x:c r="P10" s="20"/>
      <x:c r="Q10" s="20"/>
      <x:c r="R10" s="20"/>
      <x:c r="S10" s="20"/>
      <x:c r="T10" s="23"/>
      <x:c r="U10" s="20" t="str">
        <x:f>IF(A10="","",IF(AND(O10&lt;&gt;"",O10&lt;TODAY()),"YES","NO"))</x:f>
      </x:c>
    </x:row>
    <x:row r="11">
      <x:c r="A11" s="20"/>
      <x:c r="B11" s="20"/>
      <x:c r="C11" s="20"/>
      <x:c r="D11" s="20"/>
      <x:c r="E11" s="20"/>
      <x:c r="F11" s="20"/>
      <x:c r="G11" s="20"/>
      <x:c r="H11" s="20"/>
      <x:c r="I11" s="20"/>
      <x:c r="J11" s="23"/>
      <x:c r="K11" s="20"/>
      <x:c r="L11" s="20"/>
      <x:c r="M11" s="20"/>
      <x:c r="N11" s="23"/>
      <x:c r="O11" s="23"/>
      <x:c r="P11" s="20"/>
      <x:c r="Q11" s="20"/>
      <x:c r="R11" s="20"/>
      <x:c r="S11" s="20"/>
      <x:c r="T11" s="23"/>
      <x:c r="U11" s="20" t="str">
        <x:f>IF(A11="","",IF(AND(O11&lt;&gt;"",O11&lt;TODAY()),"YES","NO"))</x:f>
      </x:c>
    </x:row>
    <x:row r="12">
      <x:c r="A12" s="20"/>
      <x:c r="B12" s="20"/>
      <x:c r="C12" s="20"/>
      <x:c r="D12" s="20"/>
      <x:c r="E12" s="20"/>
      <x:c r="F12" s="20"/>
      <x:c r="G12" s="20"/>
      <x:c r="H12" s="20"/>
      <x:c r="I12" s="20"/>
      <x:c r="J12" s="23"/>
      <x:c r="K12" s="20"/>
      <x:c r="L12" s="20"/>
      <x:c r="M12" s="20"/>
      <x:c r="N12" s="23"/>
      <x:c r="O12" s="23"/>
      <x:c r="P12" s="20"/>
      <x:c r="Q12" s="20"/>
      <x:c r="R12" s="20"/>
      <x:c r="S12" s="20"/>
      <x:c r="T12" s="23"/>
      <x:c r="U12" s="20" t="str">
        <x:f>IF(A12="","",IF(AND(O12&lt;&gt;"",O12&lt;TODAY()),"YES","NO"))</x:f>
      </x:c>
    </x:row>
    <x:row r="13">
      <x:c r="A13" s="20"/>
      <x:c r="B13" s="20"/>
      <x:c r="C13" s="20"/>
      <x:c r="D13" s="20"/>
      <x:c r="E13" s="20"/>
      <x:c r="F13" s="20"/>
      <x:c r="G13" s="20"/>
      <x:c r="H13" s="20"/>
      <x:c r="I13" s="20"/>
      <x:c r="J13" s="23"/>
      <x:c r="K13" s="20"/>
      <x:c r="L13" s="20"/>
      <x:c r="M13" s="20"/>
      <x:c r="N13" s="23"/>
      <x:c r="O13" s="23"/>
      <x:c r="P13" s="20"/>
      <x:c r="Q13" s="20"/>
      <x:c r="R13" s="20"/>
      <x:c r="S13" s="20"/>
      <x:c r="T13" s="23"/>
      <x:c r="U13" s="20" t="str">
        <x:f>IF(A13="","",IF(AND(O13&lt;&gt;"",O13&lt;TODAY()),"YES","NO"))</x:f>
      </x:c>
    </x:row>
    <x:row r="14">
      <x:c r="A14" s="20"/>
      <x:c r="B14" s="20"/>
      <x:c r="C14" s="20"/>
      <x:c r="D14" s="20"/>
      <x:c r="E14" s="20"/>
      <x:c r="F14" s="20"/>
      <x:c r="G14" s="20"/>
      <x:c r="H14" s="20"/>
      <x:c r="I14" s="20"/>
      <x:c r="J14" s="23"/>
      <x:c r="K14" s="20"/>
      <x:c r="L14" s="20"/>
      <x:c r="M14" s="20"/>
      <x:c r="N14" s="23"/>
      <x:c r="O14" s="23"/>
      <x:c r="P14" s="20"/>
      <x:c r="Q14" s="20"/>
      <x:c r="R14" s="20"/>
      <x:c r="S14" s="20"/>
      <x:c r="T14" s="23"/>
      <x:c r="U14" s="20" t="str">
        <x:f>IF(A14="","",IF(AND(O14&lt;&gt;"",O14&lt;TODAY()),"YES","NO"))</x:f>
      </x:c>
    </x:row>
    <x:row r="15">
      <x:c r="A15" s="20"/>
      <x:c r="B15" s="20"/>
      <x:c r="C15" s="20"/>
      <x:c r="D15" s="20"/>
      <x:c r="E15" s="20"/>
      <x:c r="F15" s="20"/>
      <x:c r="G15" s="20"/>
      <x:c r="H15" s="20"/>
      <x:c r="I15" s="20"/>
      <x:c r="J15" s="23"/>
      <x:c r="K15" s="20"/>
      <x:c r="L15" s="20"/>
      <x:c r="M15" s="20"/>
      <x:c r="N15" s="23"/>
      <x:c r="O15" s="23"/>
      <x:c r="P15" s="20"/>
      <x:c r="Q15" s="20"/>
      <x:c r="R15" s="20"/>
      <x:c r="S15" s="20"/>
      <x:c r="T15" s="23"/>
      <x:c r="U15" s="20" t="str">
        <x:f>IF(A15="","",IF(AND(O15&lt;&gt;"",O15&lt;TODAY()),"YES","NO"))</x:f>
      </x:c>
    </x:row>
    <x:row r="16">
      <x:c r="A16" s="20"/>
      <x:c r="B16" s="20"/>
      <x:c r="C16" s="20"/>
      <x:c r="D16" s="20"/>
      <x:c r="E16" s="20"/>
      <x:c r="F16" s="20"/>
      <x:c r="G16" s="20"/>
      <x:c r="H16" s="20"/>
      <x:c r="I16" s="20"/>
      <x:c r="J16" s="23"/>
      <x:c r="K16" s="20"/>
      <x:c r="L16" s="20"/>
      <x:c r="M16" s="20"/>
      <x:c r="N16" s="23"/>
      <x:c r="O16" s="23"/>
      <x:c r="P16" s="20"/>
      <x:c r="Q16" s="20"/>
      <x:c r="R16" s="20"/>
      <x:c r="S16" s="20"/>
      <x:c r="T16" s="23"/>
      <x:c r="U16" s="20" t="str">
        <x:f>IF(A16="","",IF(AND(O16&lt;&gt;"",O16&lt;TODAY()),"YES","NO"))</x:f>
      </x:c>
    </x:row>
    <x:row r="17">
      <x:c r="A17" s="20"/>
      <x:c r="B17" s="20"/>
      <x:c r="C17" s="20"/>
      <x:c r="D17" s="20"/>
      <x:c r="E17" s="20"/>
      <x:c r="F17" s="20"/>
      <x:c r="G17" s="20"/>
      <x:c r="H17" s="20"/>
      <x:c r="I17" s="20"/>
      <x:c r="J17" s="23"/>
      <x:c r="K17" s="20"/>
      <x:c r="L17" s="20"/>
      <x:c r="M17" s="20"/>
      <x:c r="N17" s="23"/>
      <x:c r="O17" s="23"/>
      <x:c r="P17" s="20"/>
      <x:c r="Q17" s="20"/>
      <x:c r="R17" s="20"/>
      <x:c r="S17" s="20"/>
      <x:c r="T17" s="23"/>
      <x:c r="U17" s="20" t="str">
        <x:f>IF(A17="","",IF(AND(O17&lt;&gt;"",O17&lt;TODAY()),"YES","NO"))</x:f>
      </x:c>
    </x:row>
    <x:row r="18">
      <x:c r="A18" s="20"/>
      <x:c r="B18" s="20"/>
      <x:c r="C18" s="20"/>
      <x:c r="D18" s="20"/>
      <x:c r="E18" s="20"/>
      <x:c r="F18" s="20"/>
      <x:c r="G18" s="20"/>
      <x:c r="H18" s="20"/>
      <x:c r="I18" s="20"/>
      <x:c r="J18" s="23"/>
      <x:c r="K18" s="20"/>
      <x:c r="L18" s="20"/>
      <x:c r="M18" s="20"/>
      <x:c r="N18" s="23"/>
      <x:c r="O18" s="23"/>
      <x:c r="P18" s="20"/>
      <x:c r="Q18" s="20"/>
      <x:c r="R18" s="20"/>
      <x:c r="S18" s="20"/>
      <x:c r="T18" s="23"/>
      <x:c r="U18" s="20" t="str">
        <x:f>IF(A18="","",IF(AND(O18&lt;&gt;"",O18&lt;TODAY()),"YES","NO"))</x:f>
      </x:c>
    </x:row>
    <x:row r="19">
      <x:c r="A19" s="20"/>
      <x:c r="B19" s="20"/>
      <x:c r="C19" s="20"/>
      <x:c r="D19" s="20"/>
      <x:c r="E19" s="20"/>
      <x:c r="F19" s="20"/>
      <x:c r="G19" s="20"/>
      <x:c r="H19" s="20"/>
      <x:c r="I19" s="20"/>
      <x:c r="J19" s="23"/>
      <x:c r="K19" s="20"/>
      <x:c r="L19" s="20"/>
      <x:c r="M19" s="20"/>
      <x:c r="N19" s="23"/>
      <x:c r="O19" s="23"/>
      <x:c r="P19" s="20"/>
      <x:c r="Q19" s="20"/>
      <x:c r="R19" s="20"/>
      <x:c r="S19" s="20"/>
      <x:c r="T19" s="23"/>
      <x:c r="U19" s="20" t="str">
        <x:f>IF(A19="","",IF(AND(O19&lt;&gt;"",O19&lt;TODAY()),"YES","NO"))</x:f>
      </x:c>
    </x:row>
    <x:row r="20">
      <x:c r="A20" s="20"/>
      <x:c r="B20" s="20"/>
      <x:c r="C20" s="20"/>
      <x:c r="D20" s="20"/>
      <x:c r="E20" s="20"/>
      <x:c r="F20" s="20"/>
      <x:c r="G20" s="20"/>
      <x:c r="H20" s="20"/>
      <x:c r="I20" s="20"/>
      <x:c r="J20" s="23"/>
      <x:c r="K20" s="20"/>
      <x:c r="L20" s="20"/>
      <x:c r="M20" s="20"/>
      <x:c r="N20" s="23"/>
      <x:c r="O20" s="23"/>
      <x:c r="P20" s="20"/>
      <x:c r="Q20" s="20"/>
      <x:c r="R20" s="20"/>
      <x:c r="S20" s="20"/>
      <x:c r="T20" s="23"/>
      <x:c r="U20" s="20" t="str">
        <x:f>IF(A20="","",IF(AND(O20&lt;&gt;"",O20&lt;TODAY()),"YES","NO"))</x:f>
      </x:c>
    </x:row>
    <x:row r="21">
      <x:c r="A21" s="20"/>
      <x:c r="B21" s="20"/>
      <x:c r="C21" s="20"/>
      <x:c r="D21" s="20"/>
      <x:c r="E21" s="20"/>
      <x:c r="F21" s="20"/>
      <x:c r="G21" s="20"/>
      <x:c r="H21" s="20"/>
      <x:c r="I21" s="20"/>
      <x:c r="J21" s="23"/>
      <x:c r="K21" s="20"/>
      <x:c r="L21" s="20"/>
      <x:c r="M21" s="20"/>
      <x:c r="N21" s="23"/>
      <x:c r="O21" s="23"/>
      <x:c r="P21" s="20"/>
      <x:c r="Q21" s="20"/>
      <x:c r="R21" s="20"/>
      <x:c r="S21" s="20"/>
      <x:c r="T21" s="23"/>
      <x:c r="U21" s="20" t="str">
        <x:f>IF(A21="","",IF(AND(O21&lt;&gt;"",O21&lt;TODAY()),"YES","NO"))</x:f>
      </x:c>
    </x:row>
    <x:row r="22">
      <x:c r="A22" s="20"/>
      <x:c r="B22" s="20"/>
      <x:c r="C22" s="20"/>
      <x:c r="D22" s="20"/>
      <x:c r="E22" s="20"/>
      <x:c r="F22" s="20"/>
      <x:c r="G22" s="20"/>
      <x:c r="H22" s="20"/>
      <x:c r="I22" s="20"/>
      <x:c r="J22" s="23"/>
      <x:c r="K22" s="20"/>
      <x:c r="L22" s="20"/>
      <x:c r="M22" s="20"/>
      <x:c r="N22" s="23"/>
      <x:c r="O22" s="23"/>
      <x:c r="P22" s="20"/>
      <x:c r="Q22" s="20"/>
      <x:c r="R22" s="20"/>
      <x:c r="S22" s="20"/>
      <x:c r="T22" s="23"/>
      <x:c r="U22" s="20" t="str">
        <x:f>IF(A22="","",IF(AND(O22&lt;&gt;"",O22&lt;TODAY()),"YES","NO"))</x:f>
      </x:c>
    </x:row>
    <x:row r="23">
      <x:c r="A23" s="20"/>
      <x:c r="B23" s="20"/>
      <x:c r="C23" s="20"/>
      <x:c r="D23" s="20"/>
      <x:c r="E23" s="20"/>
      <x:c r="F23" s="20"/>
      <x:c r="G23" s="20"/>
      <x:c r="H23" s="20"/>
      <x:c r="I23" s="20"/>
      <x:c r="J23" s="23"/>
      <x:c r="K23" s="20"/>
      <x:c r="L23" s="20"/>
      <x:c r="M23" s="20"/>
      <x:c r="N23" s="23"/>
      <x:c r="O23" s="23"/>
      <x:c r="P23" s="20"/>
      <x:c r="Q23" s="20"/>
      <x:c r="R23" s="20"/>
      <x:c r="S23" s="20"/>
      <x:c r="T23" s="23"/>
      <x:c r="U23" s="20" t="str">
        <x:f>IF(A23="","",IF(AND(O23&lt;&gt;"",O23&lt;TODAY()),"YES","NO"))</x:f>
      </x:c>
    </x:row>
    <x:row r="24">
      <x:c r="A24" s="20"/>
      <x:c r="B24" s="20"/>
      <x:c r="C24" s="20"/>
      <x:c r="D24" s="20"/>
      <x:c r="E24" s="20"/>
      <x:c r="F24" s="20"/>
      <x:c r="G24" s="20"/>
      <x:c r="H24" s="20"/>
      <x:c r="I24" s="20"/>
      <x:c r="J24" s="23"/>
      <x:c r="K24" s="20"/>
      <x:c r="L24" s="20"/>
      <x:c r="M24" s="20"/>
      <x:c r="N24" s="23"/>
      <x:c r="O24" s="23"/>
      <x:c r="P24" s="20"/>
      <x:c r="Q24" s="20"/>
      <x:c r="R24" s="20"/>
      <x:c r="S24" s="20"/>
      <x:c r="T24" s="23"/>
      <x:c r="U24" s="20" t="str">
        <x:f>IF(A24="","",IF(AND(O24&lt;&gt;"",O24&lt;TODAY()),"YES","NO"))</x:f>
      </x:c>
    </x:row>
    <x:row r="25">
      <x:c r="A25" s="20"/>
      <x:c r="B25" s="20"/>
      <x:c r="C25" s="20"/>
      <x:c r="D25" s="20"/>
      <x:c r="E25" s="20"/>
      <x:c r="F25" s="20"/>
      <x:c r="G25" s="20"/>
      <x:c r="H25" s="20"/>
      <x:c r="I25" s="20"/>
      <x:c r="J25" s="23"/>
      <x:c r="K25" s="20"/>
      <x:c r="L25" s="20"/>
      <x:c r="M25" s="20"/>
      <x:c r="N25" s="23"/>
      <x:c r="O25" s="23"/>
      <x:c r="P25" s="20"/>
      <x:c r="Q25" s="20"/>
      <x:c r="R25" s="20"/>
      <x:c r="S25" s="20"/>
      <x:c r="T25" s="23"/>
      <x:c r="U25" s="20" t="str">
        <x:f>IF(A25="","",IF(AND(O25&lt;&gt;"",O25&lt;TODAY()),"YES","NO"))</x:f>
      </x:c>
    </x:row>
    <x:row r="26">
      <x:c r="A26" s="20"/>
      <x:c r="B26" s="20"/>
      <x:c r="C26" s="20"/>
      <x:c r="D26" s="20"/>
      <x:c r="E26" s="20"/>
      <x:c r="F26" s="20"/>
      <x:c r="G26" s="20"/>
      <x:c r="H26" s="20"/>
      <x:c r="I26" s="20"/>
      <x:c r="J26" s="23"/>
      <x:c r="K26" s="20"/>
      <x:c r="L26" s="20"/>
      <x:c r="M26" s="20"/>
      <x:c r="N26" s="23"/>
      <x:c r="O26" s="23"/>
      <x:c r="P26" s="20"/>
      <x:c r="Q26" s="20"/>
      <x:c r="R26" s="20"/>
      <x:c r="S26" s="20"/>
      <x:c r="T26" s="23"/>
      <x:c r="U26" s="20" t="str">
        <x:f>IF(A26="","",IF(AND(O26&lt;&gt;"",O26&lt;TODAY()),"YES","NO"))</x:f>
      </x:c>
    </x:row>
    <x:row r="27">
      <x:c r="A27" s="20"/>
      <x:c r="B27" s="20"/>
      <x:c r="C27" s="20"/>
      <x:c r="D27" s="20"/>
      <x:c r="E27" s="20"/>
      <x:c r="F27" s="20"/>
      <x:c r="G27" s="20"/>
      <x:c r="H27" s="20"/>
      <x:c r="I27" s="20"/>
      <x:c r="J27" s="23"/>
      <x:c r="K27" s="20"/>
      <x:c r="L27" s="20"/>
      <x:c r="M27" s="20"/>
      <x:c r="N27" s="23"/>
      <x:c r="O27" s="23"/>
      <x:c r="P27" s="20"/>
      <x:c r="Q27" s="20"/>
      <x:c r="R27" s="20"/>
      <x:c r="S27" s="20"/>
      <x:c r="T27" s="23"/>
      <x:c r="U27" s="20" t="str">
        <x:f>IF(A27="","",IF(AND(O27&lt;&gt;"",O27&lt;TODAY()),"YES","NO"))</x:f>
      </x:c>
    </x:row>
    <x:row r="28">
      <x:c r="A28" s="20"/>
      <x:c r="B28" s="20"/>
      <x:c r="C28" s="20"/>
      <x:c r="D28" s="20"/>
      <x:c r="E28" s="20"/>
      <x:c r="F28" s="20"/>
      <x:c r="G28" s="20"/>
      <x:c r="H28" s="20"/>
      <x:c r="I28" s="20"/>
      <x:c r="J28" s="23"/>
      <x:c r="K28" s="20"/>
      <x:c r="L28" s="20"/>
      <x:c r="M28" s="20"/>
      <x:c r="N28" s="23"/>
      <x:c r="O28" s="23"/>
      <x:c r="P28" s="20"/>
      <x:c r="Q28" s="20"/>
      <x:c r="R28" s="20"/>
      <x:c r="S28" s="20"/>
      <x:c r="T28" s="23"/>
      <x:c r="U28" s="20" t="str">
        <x:f>IF(A28="","",IF(AND(O28&lt;&gt;"",O28&lt;TODAY()),"YES","NO"))</x:f>
      </x:c>
    </x:row>
    <x:row r="29">
      <x:c r="A29" s="20"/>
      <x:c r="B29" s="20"/>
      <x:c r="C29" s="20"/>
      <x:c r="D29" s="20"/>
      <x:c r="E29" s="20"/>
      <x:c r="F29" s="20"/>
      <x:c r="G29" s="20"/>
      <x:c r="H29" s="20"/>
      <x:c r="I29" s="20"/>
      <x:c r="J29" s="23"/>
      <x:c r="K29" s="20"/>
      <x:c r="L29" s="20"/>
      <x:c r="M29" s="20"/>
      <x:c r="N29" s="23"/>
      <x:c r="O29" s="23"/>
      <x:c r="P29" s="20"/>
      <x:c r="Q29" s="20"/>
      <x:c r="R29" s="20"/>
      <x:c r="S29" s="20"/>
      <x:c r="T29" s="23"/>
      <x:c r="U29" s="20" t="str">
        <x:f>IF(A29="","",IF(AND(O29&lt;&gt;"",O29&lt;TODAY()),"YES","NO"))</x:f>
      </x:c>
    </x:row>
    <x:row r="30">
      <x:c r="A30" s="20"/>
      <x:c r="B30" s="20"/>
      <x:c r="C30" s="20"/>
      <x:c r="D30" s="20"/>
      <x:c r="E30" s="20"/>
      <x:c r="F30" s="20"/>
      <x:c r="G30" s="20"/>
      <x:c r="H30" s="20"/>
      <x:c r="I30" s="20"/>
      <x:c r="J30" s="23"/>
      <x:c r="K30" s="20"/>
      <x:c r="L30" s="20"/>
      <x:c r="M30" s="20"/>
      <x:c r="N30" s="23"/>
      <x:c r="O30" s="23"/>
      <x:c r="P30" s="20"/>
      <x:c r="Q30" s="20"/>
      <x:c r="R30" s="20"/>
      <x:c r="S30" s="20"/>
      <x:c r="T30" s="23"/>
      <x:c r="U30" s="20" t="str">
        <x:f>IF(A30="","",IF(AND(O30&lt;&gt;"",O30&lt;TODAY()),"YES","NO"))</x:f>
      </x:c>
    </x:row>
    <x:row r="31">
      <x:c r="A31" s="20"/>
      <x:c r="B31" s="20"/>
      <x:c r="C31" s="20"/>
      <x:c r="D31" s="20"/>
      <x:c r="E31" s="20"/>
      <x:c r="F31" s="20"/>
      <x:c r="G31" s="20"/>
      <x:c r="H31" s="20"/>
      <x:c r="I31" s="20"/>
      <x:c r="J31" s="23"/>
      <x:c r="K31" s="20"/>
      <x:c r="L31" s="20"/>
      <x:c r="M31" s="20"/>
      <x:c r="N31" s="23"/>
      <x:c r="O31" s="23"/>
      <x:c r="P31" s="20"/>
      <x:c r="Q31" s="20"/>
      <x:c r="R31" s="20"/>
      <x:c r="S31" s="20"/>
      <x:c r="T31" s="23"/>
      <x:c r="U31" s="20" t="str">
        <x:f>IF(A31="","",IF(AND(O31&lt;&gt;"",O31&lt;TODAY()),"YES","NO"))</x:f>
      </x:c>
    </x:row>
    <x:row r="32">
      <x:c r="A32" s="20"/>
      <x:c r="B32" s="20"/>
      <x:c r="C32" s="20"/>
      <x:c r="D32" s="20"/>
      <x:c r="E32" s="20"/>
      <x:c r="F32" s="20"/>
      <x:c r="G32" s="20"/>
      <x:c r="H32" s="20"/>
      <x:c r="I32" s="20"/>
      <x:c r="J32" s="23"/>
      <x:c r="K32" s="20"/>
      <x:c r="L32" s="20"/>
      <x:c r="M32" s="20"/>
      <x:c r="N32" s="23"/>
      <x:c r="O32" s="23"/>
      <x:c r="P32" s="20"/>
      <x:c r="Q32" s="20"/>
      <x:c r="R32" s="20"/>
      <x:c r="S32" s="20"/>
      <x:c r="T32" s="23"/>
      <x:c r="U32" s="20" t="str">
        <x:f>IF(A32="","",IF(AND(O32&lt;&gt;"",O32&lt;TODAY()),"YES","NO"))</x:f>
      </x:c>
    </x:row>
    <x:row r="33">
      <x:c r="A33" s="20"/>
      <x:c r="B33" s="20"/>
      <x:c r="C33" s="20"/>
      <x:c r="D33" s="20"/>
      <x:c r="E33" s="20"/>
      <x:c r="F33" s="20"/>
      <x:c r="G33" s="20"/>
      <x:c r="H33" s="20"/>
      <x:c r="I33" s="20"/>
      <x:c r="J33" s="23"/>
      <x:c r="K33" s="20"/>
      <x:c r="L33" s="20"/>
      <x:c r="M33" s="20"/>
      <x:c r="N33" s="23"/>
      <x:c r="O33" s="23"/>
      <x:c r="P33" s="20"/>
      <x:c r="Q33" s="20"/>
      <x:c r="R33" s="20"/>
      <x:c r="S33" s="20"/>
      <x:c r="T33" s="23"/>
      <x:c r="U33" s="20" t="str">
        <x:f>IF(A33="","",IF(AND(O33&lt;&gt;"",O33&lt;TODAY()),"YES","NO"))</x:f>
      </x:c>
    </x:row>
    <x:row r="34">
      <x:c r="A34" s="20"/>
      <x:c r="B34" s="20"/>
      <x:c r="C34" s="20"/>
      <x:c r="D34" s="20"/>
      <x:c r="E34" s="20"/>
      <x:c r="F34" s="20"/>
      <x:c r="G34" s="20"/>
      <x:c r="H34" s="20"/>
      <x:c r="I34" s="20"/>
      <x:c r="J34" s="23"/>
      <x:c r="K34" s="20"/>
      <x:c r="L34" s="20"/>
      <x:c r="M34" s="20"/>
      <x:c r="N34" s="23"/>
      <x:c r="O34" s="23"/>
      <x:c r="P34" s="20"/>
      <x:c r="Q34" s="20"/>
      <x:c r="R34" s="20"/>
      <x:c r="S34" s="20"/>
      <x:c r="T34" s="23"/>
      <x:c r="U34" s="20" t="str">
        <x:f>IF(A34="","",IF(AND(O34&lt;&gt;"",O34&lt;TODAY()),"YES","NO"))</x:f>
      </x:c>
    </x:row>
    <x:row r="35">
      <x:c r="A35" s="20"/>
      <x:c r="B35" s="20"/>
      <x:c r="C35" s="20"/>
      <x:c r="D35" s="20"/>
      <x:c r="E35" s="20"/>
      <x:c r="F35" s="20"/>
      <x:c r="G35" s="20"/>
      <x:c r="H35" s="20"/>
      <x:c r="I35" s="20"/>
      <x:c r="J35" s="23"/>
      <x:c r="K35" s="20"/>
      <x:c r="L35" s="20"/>
      <x:c r="M35" s="20"/>
      <x:c r="N35" s="23"/>
      <x:c r="O35" s="23"/>
      <x:c r="P35" s="20"/>
      <x:c r="Q35" s="20"/>
      <x:c r="R35" s="20"/>
      <x:c r="S35" s="20"/>
      <x:c r="T35" s="23"/>
      <x:c r="U35" s="20" t="str">
        <x:f>IF(A35="","",IF(AND(O35&lt;&gt;"",O35&lt;TODAY()),"YES","NO"))</x:f>
      </x:c>
    </x:row>
    <x:row r="36">
      <x:c r="A36" s="20"/>
      <x:c r="B36" s="20"/>
      <x:c r="C36" s="20"/>
      <x:c r="D36" s="20"/>
      <x:c r="E36" s="20"/>
      <x:c r="F36" s="20"/>
      <x:c r="G36" s="20"/>
      <x:c r="H36" s="20"/>
      <x:c r="I36" s="20"/>
      <x:c r="J36" s="23"/>
      <x:c r="K36" s="20"/>
      <x:c r="L36" s="20"/>
      <x:c r="M36" s="20"/>
      <x:c r="N36" s="23"/>
      <x:c r="O36" s="23"/>
      <x:c r="P36" s="20"/>
      <x:c r="Q36" s="20"/>
      <x:c r="R36" s="20"/>
      <x:c r="S36" s="20"/>
      <x:c r="T36" s="23"/>
      <x:c r="U36" s="20" t="str">
        <x:f>IF(A36="","",IF(AND(O36&lt;&gt;"",O36&lt;TODAY()),"YES","NO"))</x:f>
      </x:c>
    </x:row>
    <x:row r="37">
      <x:c r="A37" s="20"/>
      <x:c r="B37" s="20"/>
      <x:c r="C37" s="20"/>
      <x:c r="D37" s="20"/>
      <x:c r="E37" s="20"/>
      <x:c r="F37" s="20"/>
      <x:c r="G37" s="20"/>
      <x:c r="H37" s="20"/>
      <x:c r="I37" s="20"/>
      <x:c r="J37" s="23"/>
      <x:c r="K37" s="20"/>
      <x:c r="L37" s="20"/>
      <x:c r="M37" s="20"/>
      <x:c r="N37" s="23"/>
      <x:c r="O37" s="23"/>
      <x:c r="P37" s="20"/>
      <x:c r="Q37" s="20"/>
      <x:c r="R37" s="20"/>
      <x:c r="S37" s="20"/>
      <x:c r="T37" s="23"/>
      <x:c r="U37" s="20" t="str">
        <x:f>IF(A37="","",IF(AND(O37&lt;&gt;"",O37&lt;TODAY()),"YES","NO"))</x:f>
      </x:c>
    </x:row>
    <x:row r="38">
      <x:c r="A38" s="20"/>
      <x:c r="B38" s="20"/>
      <x:c r="C38" s="20"/>
      <x:c r="D38" s="20"/>
      <x:c r="E38" s="20"/>
      <x:c r="F38" s="20"/>
      <x:c r="G38" s="20"/>
      <x:c r="H38" s="20"/>
      <x:c r="I38" s="20"/>
      <x:c r="J38" s="23"/>
      <x:c r="K38" s="20"/>
      <x:c r="L38" s="20"/>
      <x:c r="M38" s="20"/>
      <x:c r="N38" s="23"/>
      <x:c r="O38" s="23"/>
      <x:c r="P38" s="20"/>
      <x:c r="Q38" s="20"/>
      <x:c r="R38" s="20"/>
      <x:c r="S38" s="20"/>
      <x:c r="T38" s="23"/>
      <x:c r="U38" s="20" t="str">
        <x:f>IF(A38="","",IF(AND(O38&lt;&gt;"",O38&lt;TODAY()),"YES","NO"))</x:f>
      </x:c>
    </x:row>
    <x:row r="39">
      <x:c r="A39" s="20"/>
      <x:c r="B39" s="20"/>
      <x:c r="C39" s="20"/>
      <x:c r="D39" s="20"/>
      <x:c r="E39" s="20"/>
      <x:c r="F39" s="20"/>
      <x:c r="G39" s="20"/>
      <x:c r="H39" s="20"/>
      <x:c r="I39" s="20"/>
      <x:c r="J39" s="23"/>
      <x:c r="K39" s="20"/>
      <x:c r="L39" s="20"/>
      <x:c r="M39" s="20"/>
      <x:c r="N39" s="23"/>
      <x:c r="O39" s="23"/>
      <x:c r="P39" s="20"/>
      <x:c r="Q39" s="20"/>
      <x:c r="R39" s="20"/>
      <x:c r="S39" s="20"/>
      <x:c r="T39" s="23"/>
      <x:c r="U39" s="20" t="str">
        <x:f>IF(A39="","",IF(AND(O39&lt;&gt;"",O39&lt;TODAY()),"YES","NO"))</x:f>
      </x:c>
    </x:row>
    <x:row r="40">
      <x:c r="A40" s="20"/>
      <x:c r="B40" s="20"/>
      <x:c r="C40" s="20"/>
      <x:c r="D40" s="20"/>
      <x:c r="E40" s="20"/>
      <x:c r="F40" s="20"/>
      <x:c r="G40" s="20"/>
      <x:c r="H40" s="20"/>
      <x:c r="I40" s="20"/>
      <x:c r="J40" s="23"/>
      <x:c r="K40" s="20"/>
      <x:c r="L40" s="20"/>
      <x:c r="M40" s="20"/>
      <x:c r="N40" s="23"/>
      <x:c r="O40" s="23"/>
      <x:c r="P40" s="20"/>
      <x:c r="Q40" s="20"/>
      <x:c r="R40" s="20"/>
      <x:c r="S40" s="20"/>
      <x:c r="T40" s="23"/>
      <x:c r="U40" s="20" t="str">
        <x:f>IF(A40="","",IF(AND(O40&lt;&gt;"",O40&lt;TODAY()),"YES","NO"))</x:f>
      </x:c>
    </x:row>
    <x:row r="41">
      <x:c r="A41" s="20"/>
      <x:c r="B41" s="20"/>
      <x:c r="C41" s="20"/>
      <x:c r="D41" s="20"/>
      <x:c r="E41" s="20"/>
      <x:c r="F41" s="20"/>
      <x:c r="G41" s="20"/>
      <x:c r="H41" s="20"/>
      <x:c r="I41" s="20"/>
      <x:c r="J41" s="23"/>
      <x:c r="K41" s="20"/>
      <x:c r="L41" s="20"/>
      <x:c r="M41" s="20"/>
      <x:c r="N41" s="23"/>
      <x:c r="O41" s="23"/>
      <x:c r="P41" s="20"/>
      <x:c r="Q41" s="20"/>
      <x:c r="R41" s="20"/>
      <x:c r="S41" s="20"/>
      <x:c r="T41" s="23"/>
      <x:c r="U41" s="20" t="str">
        <x:f>IF(A41="","",IF(AND(O41&lt;&gt;"",O41&lt;TODAY()),"YES","NO"))</x:f>
      </x:c>
    </x:row>
    <x:row r="42">
      <x:c r="A42" s="20"/>
      <x:c r="B42" s="20"/>
      <x:c r="C42" s="20"/>
      <x:c r="D42" s="20"/>
      <x:c r="E42" s="20"/>
      <x:c r="F42" s="20"/>
      <x:c r="G42" s="20"/>
      <x:c r="H42" s="20"/>
      <x:c r="I42" s="20"/>
      <x:c r="J42" s="23"/>
      <x:c r="K42" s="20"/>
      <x:c r="L42" s="20"/>
      <x:c r="M42" s="20"/>
      <x:c r="N42" s="23"/>
      <x:c r="O42" s="23"/>
      <x:c r="P42" s="20"/>
      <x:c r="Q42" s="20"/>
      <x:c r="R42" s="20"/>
      <x:c r="S42" s="20"/>
      <x:c r="T42" s="23"/>
      <x:c r="U42" s="20" t="str">
        <x:f>IF(A42="","",IF(AND(O42&lt;&gt;"",O42&lt;TODAY()),"YES","NO"))</x:f>
      </x:c>
    </x:row>
    <x:row r="43">
      <x:c r="A43" s="20"/>
      <x:c r="B43" s="20"/>
      <x:c r="C43" s="20"/>
      <x:c r="D43" s="20"/>
      <x:c r="E43" s="20"/>
      <x:c r="F43" s="20"/>
      <x:c r="G43" s="20"/>
      <x:c r="H43" s="20"/>
      <x:c r="I43" s="20"/>
      <x:c r="J43" s="23"/>
      <x:c r="K43" s="20"/>
      <x:c r="L43" s="20"/>
      <x:c r="M43" s="20"/>
      <x:c r="N43" s="23"/>
      <x:c r="O43" s="23"/>
      <x:c r="P43" s="20"/>
      <x:c r="Q43" s="20"/>
      <x:c r="R43" s="20"/>
      <x:c r="S43" s="20"/>
      <x:c r="T43" s="23"/>
      <x:c r="U43" s="20" t="str">
        <x:f>IF(A43="","",IF(AND(O43&lt;&gt;"",O43&lt;TODAY()),"YES","NO"))</x:f>
      </x:c>
    </x:row>
    <x:row r="44">
      <x:c r="A44" s="20"/>
      <x:c r="B44" s="20"/>
      <x:c r="C44" s="20"/>
      <x:c r="D44" s="20"/>
      <x:c r="E44" s="20"/>
      <x:c r="F44" s="20"/>
      <x:c r="G44" s="20"/>
      <x:c r="H44" s="20"/>
      <x:c r="I44" s="20"/>
      <x:c r="J44" s="23"/>
      <x:c r="K44" s="20"/>
      <x:c r="L44" s="20"/>
      <x:c r="M44" s="20"/>
      <x:c r="N44" s="23"/>
      <x:c r="O44" s="23"/>
      <x:c r="P44" s="20"/>
      <x:c r="Q44" s="20"/>
      <x:c r="R44" s="20"/>
      <x:c r="S44" s="20"/>
      <x:c r="T44" s="23"/>
      <x:c r="U44" s="20" t="str">
        <x:f>IF(A44="","",IF(AND(O44&lt;&gt;"",O44&lt;TODAY()),"YES","NO"))</x:f>
      </x:c>
    </x:row>
    <x:row r="45">
      <x:c r="A45" s="20"/>
      <x:c r="B45" s="20"/>
      <x:c r="C45" s="20"/>
      <x:c r="D45" s="20"/>
      <x:c r="E45" s="20"/>
      <x:c r="F45" s="20"/>
      <x:c r="G45" s="20"/>
      <x:c r="H45" s="20"/>
      <x:c r="I45" s="20"/>
      <x:c r="J45" s="23"/>
      <x:c r="K45" s="20"/>
      <x:c r="L45" s="20"/>
      <x:c r="M45" s="20"/>
      <x:c r="N45" s="23"/>
      <x:c r="O45" s="23"/>
      <x:c r="P45" s="20"/>
      <x:c r="Q45" s="20"/>
      <x:c r="R45" s="20"/>
      <x:c r="S45" s="20"/>
      <x:c r="T45" s="23"/>
      <x:c r="U45" s="20" t="str">
        <x:f>IF(A45="","",IF(AND(O45&lt;&gt;"",O45&lt;TODAY()),"YES","NO"))</x:f>
      </x:c>
    </x:row>
    <x:row r="46">
      <x:c r="A46" s="20"/>
      <x:c r="B46" s="20"/>
      <x:c r="C46" s="20"/>
      <x:c r="D46" s="20"/>
      <x:c r="E46" s="20"/>
      <x:c r="F46" s="20"/>
      <x:c r="G46" s="20"/>
      <x:c r="H46" s="20"/>
      <x:c r="I46" s="20"/>
      <x:c r="J46" s="23"/>
      <x:c r="K46" s="20"/>
      <x:c r="L46" s="20"/>
      <x:c r="M46" s="20"/>
      <x:c r="N46" s="23"/>
      <x:c r="O46" s="23"/>
      <x:c r="P46" s="20"/>
      <x:c r="Q46" s="20"/>
      <x:c r="R46" s="20"/>
      <x:c r="S46" s="20"/>
      <x:c r="T46" s="23"/>
      <x:c r="U46" s="20" t="str">
        <x:f>IF(A46="","",IF(AND(O46&lt;&gt;"",O46&lt;TODAY()),"YES","NO"))</x:f>
      </x:c>
    </x:row>
    <x:row r="47">
      <x:c r="A47" s="20"/>
      <x:c r="B47" s="20"/>
      <x:c r="C47" s="20"/>
      <x:c r="D47" s="20"/>
      <x:c r="E47" s="20"/>
      <x:c r="F47" s="20"/>
      <x:c r="G47" s="20"/>
      <x:c r="H47" s="20"/>
      <x:c r="I47" s="20"/>
      <x:c r="J47" s="23"/>
      <x:c r="K47" s="20"/>
      <x:c r="L47" s="20"/>
      <x:c r="M47" s="20"/>
      <x:c r="N47" s="23"/>
      <x:c r="O47" s="23"/>
      <x:c r="P47" s="20"/>
      <x:c r="Q47" s="20"/>
      <x:c r="R47" s="20"/>
      <x:c r="S47" s="20"/>
      <x:c r="T47" s="23"/>
      <x:c r="U47" s="20" t="str">
        <x:f>IF(A47="","",IF(AND(O47&lt;&gt;"",O47&lt;TODAY()),"YES","NO"))</x:f>
      </x:c>
    </x:row>
    <x:row r="48">
      <x:c r="A48" s="20"/>
      <x:c r="B48" s="20"/>
      <x:c r="C48" s="20"/>
      <x:c r="D48" s="20"/>
      <x:c r="E48" s="20"/>
      <x:c r="F48" s="20"/>
      <x:c r="G48" s="20"/>
      <x:c r="H48" s="20"/>
      <x:c r="I48" s="20"/>
      <x:c r="J48" s="23"/>
      <x:c r="K48" s="20"/>
      <x:c r="L48" s="20"/>
      <x:c r="M48" s="20"/>
      <x:c r="N48" s="23"/>
      <x:c r="O48" s="23"/>
      <x:c r="P48" s="20"/>
      <x:c r="Q48" s="20"/>
      <x:c r="R48" s="20"/>
      <x:c r="S48" s="20"/>
      <x:c r="T48" s="23"/>
      <x:c r="U48" s="20" t="str">
        <x:f>IF(A48="","",IF(AND(O48&lt;&gt;"",O48&lt;TODAY()),"YES","NO"))</x:f>
      </x:c>
    </x:row>
    <x:row r="49">
      <x:c r="A49" s="20"/>
      <x:c r="B49" s="20"/>
      <x:c r="C49" s="20"/>
      <x:c r="D49" s="20"/>
      <x:c r="E49" s="20"/>
      <x:c r="F49" s="20"/>
      <x:c r="G49" s="20"/>
      <x:c r="H49" s="20"/>
      <x:c r="I49" s="20"/>
      <x:c r="J49" s="23"/>
      <x:c r="K49" s="20"/>
      <x:c r="L49" s="20"/>
      <x:c r="M49" s="20"/>
      <x:c r="N49" s="23"/>
      <x:c r="O49" s="23"/>
      <x:c r="P49" s="20"/>
      <x:c r="Q49" s="20"/>
      <x:c r="R49" s="20"/>
      <x:c r="S49" s="20"/>
      <x:c r="T49" s="23"/>
      <x:c r="U49" s="20" t="str">
        <x:f>IF(A49="","",IF(AND(O49&lt;&gt;"",O49&lt;TODAY()),"YES","NO"))</x:f>
      </x:c>
    </x:row>
    <x:row r="50">
      <x:c r="A50" s="20"/>
      <x:c r="B50" s="20"/>
      <x:c r="C50" s="20"/>
      <x:c r="D50" s="20"/>
      <x:c r="E50" s="20"/>
      <x:c r="F50" s="20"/>
      <x:c r="G50" s="20"/>
      <x:c r="H50" s="20"/>
      <x:c r="I50" s="20"/>
      <x:c r="J50" s="23"/>
      <x:c r="K50" s="20"/>
      <x:c r="L50" s="20"/>
      <x:c r="M50" s="20"/>
      <x:c r="N50" s="23"/>
      <x:c r="O50" s="23"/>
      <x:c r="P50" s="20"/>
      <x:c r="Q50" s="20"/>
      <x:c r="R50" s="20"/>
      <x:c r="S50" s="20"/>
      <x:c r="T50" s="23"/>
      <x:c r="U50" s="20" t="str">
        <x:f>IF(A50="","",IF(AND(O50&lt;&gt;"",O50&lt;TODAY()),"YES","NO"))</x:f>
      </x:c>
    </x:row>
    <x:row r="51">
      <x:c r="A51" s="20"/>
      <x:c r="B51" s="20"/>
      <x:c r="C51" s="20"/>
      <x:c r="D51" s="20"/>
      <x:c r="E51" s="20"/>
      <x:c r="F51" s="20"/>
      <x:c r="G51" s="20"/>
      <x:c r="H51" s="20"/>
      <x:c r="I51" s="20"/>
      <x:c r="J51" s="23"/>
      <x:c r="K51" s="20"/>
      <x:c r="L51" s="20"/>
      <x:c r="M51" s="20"/>
      <x:c r="N51" s="23"/>
      <x:c r="O51" s="23"/>
      <x:c r="P51" s="20"/>
      <x:c r="Q51" s="20"/>
      <x:c r="R51" s="20"/>
      <x:c r="S51" s="20"/>
      <x:c r="T51" s="23"/>
      <x:c r="U51" s="20" t="str">
        <x:f>IF(A51="","",IF(AND(O51&lt;&gt;"",O51&lt;TODAY()),"YES","NO"))</x:f>
      </x:c>
    </x:row>
    <x:row r="52">
      <x:c r="A52" s="20"/>
      <x:c r="B52" s="20"/>
      <x:c r="C52" s="20"/>
      <x:c r="D52" s="20"/>
      <x:c r="E52" s="20"/>
      <x:c r="F52" s="20"/>
      <x:c r="G52" s="20"/>
      <x:c r="H52" s="20"/>
      <x:c r="I52" s="20"/>
      <x:c r="J52" s="23"/>
      <x:c r="K52" s="20"/>
      <x:c r="L52" s="20"/>
      <x:c r="M52" s="20"/>
      <x:c r="N52" s="23"/>
      <x:c r="O52" s="23"/>
      <x:c r="P52" s="20"/>
      <x:c r="Q52" s="20"/>
      <x:c r="R52" s="20"/>
      <x:c r="S52" s="20"/>
      <x:c r="T52" s="23"/>
      <x:c r="U52" s="20" t="str">
        <x:f>IF(A52="","",IF(AND(O52&lt;&gt;"",O52&lt;TODAY()),"YES","NO"))</x:f>
      </x:c>
    </x:row>
    <x:row r="53">
      <x:c r="A53" s="20"/>
      <x:c r="B53" s="20"/>
      <x:c r="C53" s="20"/>
      <x:c r="D53" s="20"/>
      <x:c r="E53" s="20"/>
      <x:c r="F53" s="20"/>
      <x:c r="G53" s="20"/>
      <x:c r="H53" s="20"/>
      <x:c r="I53" s="20"/>
      <x:c r="J53" s="23"/>
      <x:c r="K53" s="20"/>
      <x:c r="L53" s="20"/>
      <x:c r="M53" s="20"/>
      <x:c r="N53" s="23"/>
      <x:c r="O53" s="23"/>
      <x:c r="P53" s="20"/>
      <x:c r="Q53" s="20"/>
      <x:c r="R53" s="20"/>
      <x:c r="S53" s="20"/>
      <x:c r="T53" s="23"/>
      <x:c r="U53" s="20" t="str">
        <x:f>IF(A53="","",IF(AND(O53&lt;&gt;"",O53&lt;TODAY()),"YES","NO"))</x:f>
      </x:c>
    </x:row>
    <x:row r="54">
      <x:c r="A54" s="20"/>
      <x:c r="B54" s="20"/>
      <x:c r="C54" s="20"/>
      <x:c r="D54" s="20"/>
      <x:c r="E54" s="20"/>
      <x:c r="F54" s="20"/>
      <x:c r="G54" s="20"/>
      <x:c r="H54" s="20"/>
      <x:c r="I54" s="20"/>
      <x:c r="J54" s="23"/>
      <x:c r="K54" s="20"/>
      <x:c r="L54" s="20"/>
      <x:c r="M54" s="20"/>
      <x:c r="N54" s="23"/>
      <x:c r="O54" s="23"/>
      <x:c r="P54" s="20"/>
      <x:c r="Q54" s="20"/>
      <x:c r="R54" s="20"/>
      <x:c r="S54" s="20"/>
      <x:c r="T54" s="23"/>
      <x:c r="U54" s="20" t="str">
        <x:f>IF(A54="","",IF(AND(O54&lt;&gt;"",O54&lt;TODAY()),"YES","NO"))</x:f>
      </x:c>
    </x:row>
    <x:row r="55">
      <x:c r="A55" s="20"/>
      <x:c r="B55" s="20"/>
      <x:c r="C55" s="20"/>
      <x:c r="D55" s="20"/>
      <x:c r="E55" s="20"/>
      <x:c r="F55" s="20"/>
      <x:c r="G55" s="20"/>
      <x:c r="H55" s="20"/>
      <x:c r="I55" s="20"/>
      <x:c r="J55" s="23"/>
      <x:c r="K55" s="20"/>
      <x:c r="L55" s="20"/>
      <x:c r="M55" s="20"/>
      <x:c r="N55" s="23"/>
      <x:c r="O55" s="23"/>
      <x:c r="P55" s="20"/>
      <x:c r="Q55" s="20"/>
      <x:c r="R55" s="20"/>
      <x:c r="S55" s="20"/>
      <x:c r="T55" s="23"/>
      <x:c r="U55" s="20" t="str">
        <x:f>IF(A55="","",IF(AND(O55&lt;&gt;"",O55&lt;TODAY()),"YES","NO"))</x:f>
      </x:c>
    </x:row>
    <x:row r="56">
      <x:c r="A56" s="20"/>
      <x:c r="B56" s="20"/>
      <x:c r="C56" s="20"/>
      <x:c r="D56" s="20"/>
      <x:c r="E56" s="20"/>
      <x:c r="F56" s="20"/>
      <x:c r="G56" s="20"/>
      <x:c r="H56" s="20"/>
      <x:c r="I56" s="20"/>
      <x:c r="J56" s="23"/>
      <x:c r="K56" s="20"/>
      <x:c r="L56" s="20"/>
      <x:c r="M56" s="20"/>
      <x:c r="N56" s="23"/>
      <x:c r="O56" s="23"/>
      <x:c r="P56" s="20"/>
      <x:c r="Q56" s="20"/>
      <x:c r="R56" s="20"/>
      <x:c r="S56" s="20"/>
      <x:c r="T56" s="23"/>
      <x:c r="U56" s="20" t="str">
        <x:f>IF(A56="","",IF(AND(O56&lt;&gt;"",O56&lt;TODAY()),"YES","NO"))</x:f>
      </x:c>
    </x:row>
    <x:row r="57">
      <x:c r="A57" s="20"/>
      <x:c r="B57" s="20"/>
      <x:c r="C57" s="20"/>
      <x:c r="D57" s="20"/>
      <x:c r="E57" s="20"/>
      <x:c r="F57" s="20"/>
      <x:c r="G57" s="20"/>
      <x:c r="H57" s="20"/>
      <x:c r="I57" s="20"/>
      <x:c r="J57" s="23"/>
      <x:c r="K57" s="20"/>
      <x:c r="L57" s="20"/>
      <x:c r="M57" s="20"/>
      <x:c r="N57" s="23"/>
      <x:c r="O57" s="23"/>
      <x:c r="P57" s="20"/>
      <x:c r="Q57" s="20"/>
      <x:c r="R57" s="20"/>
      <x:c r="S57" s="20"/>
      <x:c r="T57" s="23"/>
      <x:c r="U57" s="20" t="str">
        <x:f>IF(A57="","",IF(AND(O57&lt;&gt;"",O57&lt;TODAY()),"YES","NO"))</x:f>
      </x:c>
    </x:row>
    <x:row r="58">
      <x:c r="A58" s="20"/>
      <x:c r="B58" s="20"/>
      <x:c r="C58" s="20"/>
      <x:c r="D58" s="20"/>
      <x:c r="E58" s="20"/>
      <x:c r="F58" s="20"/>
      <x:c r="G58" s="20"/>
      <x:c r="H58" s="20"/>
      <x:c r="I58" s="20"/>
      <x:c r="J58" s="23"/>
      <x:c r="K58" s="20"/>
      <x:c r="L58" s="20"/>
      <x:c r="M58" s="20"/>
      <x:c r="N58" s="23"/>
      <x:c r="O58" s="23"/>
      <x:c r="P58" s="20"/>
      <x:c r="Q58" s="20"/>
      <x:c r="R58" s="20"/>
      <x:c r="S58" s="20"/>
      <x:c r="T58" s="23"/>
      <x:c r="U58" s="20" t="str">
        <x:f>IF(A58="","",IF(AND(O58&lt;&gt;"",O58&lt;TODAY()),"YES","NO"))</x:f>
      </x:c>
    </x:row>
    <x:row r="59">
      <x:c r="A59" s="20"/>
      <x:c r="B59" s="20"/>
      <x:c r="C59" s="20"/>
      <x:c r="D59" s="20"/>
      <x:c r="E59" s="20"/>
      <x:c r="F59" s="20"/>
      <x:c r="G59" s="20"/>
      <x:c r="H59" s="20"/>
      <x:c r="I59" s="20"/>
      <x:c r="J59" s="23"/>
      <x:c r="K59" s="20"/>
      <x:c r="L59" s="20"/>
      <x:c r="M59" s="20"/>
      <x:c r="N59" s="23"/>
      <x:c r="O59" s="23"/>
      <x:c r="P59" s="20"/>
      <x:c r="Q59" s="20"/>
      <x:c r="R59" s="20"/>
      <x:c r="S59" s="20"/>
      <x:c r="T59" s="23"/>
      <x:c r="U59" s="20" t="str">
        <x:f>IF(A59="","",IF(AND(O59&lt;&gt;"",O59&lt;TODAY()),"YES","NO"))</x:f>
      </x:c>
    </x:row>
    <x:row r="60">
      <x:c r="A60" s="20"/>
      <x:c r="B60" s="20"/>
      <x:c r="C60" s="20"/>
      <x:c r="D60" s="20"/>
      <x:c r="E60" s="20"/>
      <x:c r="F60" s="20"/>
      <x:c r="G60" s="20"/>
      <x:c r="H60" s="20"/>
      <x:c r="I60" s="20"/>
      <x:c r="J60" s="23"/>
      <x:c r="K60" s="20"/>
      <x:c r="L60" s="20"/>
      <x:c r="M60" s="20"/>
      <x:c r="N60" s="23"/>
      <x:c r="O60" s="23"/>
      <x:c r="P60" s="20"/>
      <x:c r="Q60" s="20"/>
      <x:c r="R60" s="20"/>
      <x:c r="S60" s="20"/>
      <x:c r="T60" s="23"/>
      <x:c r="U60" s="20" t="str">
        <x:f>IF(A60="","",IF(AND(O60&lt;&gt;"",O60&lt;TODAY()),"YES","NO"))</x:f>
      </x:c>
    </x:row>
    <x:row r="61">
      <x:c r="A61" s="20"/>
      <x:c r="B61" s="20"/>
      <x:c r="C61" s="20"/>
      <x:c r="D61" s="20"/>
      <x:c r="E61" s="20"/>
      <x:c r="F61" s="20"/>
      <x:c r="G61" s="20"/>
      <x:c r="H61" s="20"/>
      <x:c r="I61" s="20"/>
      <x:c r="J61" s="23"/>
      <x:c r="K61" s="20"/>
      <x:c r="L61" s="20"/>
      <x:c r="M61" s="20"/>
      <x:c r="N61" s="23"/>
      <x:c r="O61" s="23"/>
      <x:c r="P61" s="20"/>
      <x:c r="Q61" s="20"/>
      <x:c r="R61" s="20"/>
      <x:c r="S61" s="20"/>
      <x:c r="T61" s="23"/>
      <x:c r="U61" s="20" t="str">
        <x:f>IF(A61="","",IF(AND(O61&lt;&gt;"",O61&lt;TODAY()),"YES","NO"))</x:f>
      </x:c>
    </x:row>
    <x:row r="62">
      <x:c r="A62" s="20"/>
      <x:c r="B62" s="20"/>
      <x:c r="C62" s="20"/>
      <x:c r="D62" s="20"/>
      <x:c r="E62" s="20"/>
      <x:c r="F62" s="20"/>
      <x:c r="G62" s="20"/>
      <x:c r="H62" s="20"/>
      <x:c r="I62" s="20"/>
      <x:c r="J62" s="23"/>
      <x:c r="K62" s="20"/>
      <x:c r="L62" s="20"/>
      <x:c r="M62" s="20"/>
      <x:c r="N62" s="23"/>
      <x:c r="O62" s="23"/>
      <x:c r="P62" s="20"/>
      <x:c r="Q62" s="20"/>
      <x:c r="R62" s="20"/>
      <x:c r="S62" s="20"/>
      <x:c r="T62" s="23"/>
      <x:c r="U62" s="20" t="str">
        <x:f>IF(A62="","",IF(AND(O62&lt;&gt;"",O62&lt;TODAY()),"YES","NO"))</x:f>
      </x:c>
    </x:row>
    <x:row r="63">
      <x:c r="A63" s="20"/>
      <x:c r="B63" s="20"/>
      <x:c r="C63" s="20"/>
      <x:c r="D63" s="20"/>
      <x:c r="E63" s="20"/>
      <x:c r="F63" s="20"/>
      <x:c r="G63" s="20"/>
      <x:c r="H63" s="20"/>
      <x:c r="I63" s="20"/>
      <x:c r="J63" s="23"/>
      <x:c r="K63" s="20"/>
      <x:c r="L63" s="20"/>
      <x:c r="M63" s="20"/>
      <x:c r="N63" s="23"/>
      <x:c r="O63" s="23"/>
      <x:c r="P63" s="20"/>
      <x:c r="Q63" s="20"/>
      <x:c r="R63" s="20"/>
      <x:c r="S63" s="20"/>
      <x:c r="T63" s="23"/>
      <x:c r="U63" s="20" t="str">
        <x:f>IF(A63="","",IF(AND(O63&lt;&gt;"",O63&lt;TODAY()),"YES","NO"))</x:f>
      </x:c>
    </x:row>
    <x:row r="64">
      <x:c r="A64" s="20"/>
      <x:c r="B64" s="20"/>
      <x:c r="C64" s="20"/>
      <x:c r="D64" s="20"/>
      <x:c r="E64" s="20"/>
      <x:c r="F64" s="20"/>
      <x:c r="G64" s="20"/>
      <x:c r="H64" s="20"/>
      <x:c r="I64" s="20"/>
      <x:c r="J64" s="23"/>
      <x:c r="K64" s="20"/>
      <x:c r="L64" s="20"/>
      <x:c r="M64" s="20"/>
      <x:c r="N64" s="23"/>
      <x:c r="O64" s="23"/>
      <x:c r="P64" s="20"/>
      <x:c r="Q64" s="20"/>
      <x:c r="R64" s="20"/>
      <x:c r="S64" s="20"/>
      <x:c r="T64" s="23"/>
      <x:c r="U64" s="20" t="str">
        <x:f>IF(A64="","",IF(AND(O64&lt;&gt;"",O64&lt;TODAY()),"YES","NO"))</x:f>
      </x:c>
    </x:row>
    <x:row r="65">
      <x:c r="A65" s="20"/>
      <x:c r="B65" s="20"/>
      <x:c r="C65" s="20"/>
      <x:c r="D65" s="20"/>
      <x:c r="E65" s="20"/>
      <x:c r="F65" s="20"/>
      <x:c r="G65" s="20"/>
      <x:c r="H65" s="20"/>
      <x:c r="I65" s="20"/>
      <x:c r="J65" s="23"/>
      <x:c r="K65" s="20"/>
      <x:c r="L65" s="20"/>
      <x:c r="M65" s="20"/>
      <x:c r="N65" s="23"/>
      <x:c r="O65" s="23"/>
      <x:c r="P65" s="20"/>
      <x:c r="Q65" s="20"/>
      <x:c r="R65" s="20"/>
      <x:c r="S65" s="20"/>
      <x:c r="T65" s="23"/>
      <x:c r="U65" s="20" t="str">
        <x:f>IF(A65="","",IF(AND(O65&lt;&gt;"",O65&lt;TODAY()),"YES","NO"))</x:f>
      </x:c>
    </x:row>
    <x:row r="66">
      <x:c r="A66" s="20"/>
      <x:c r="B66" s="20"/>
      <x:c r="C66" s="20"/>
      <x:c r="D66" s="20"/>
      <x:c r="E66" s="20"/>
      <x:c r="F66" s="20"/>
      <x:c r="G66" s="20"/>
      <x:c r="H66" s="20"/>
      <x:c r="I66" s="20"/>
      <x:c r="J66" s="23"/>
      <x:c r="K66" s="20"/>
      <x:c r="L66" s="20"/>
      <x:c r="M66" s="20"/>
      <x:c r="N66" s="23"/>
      <x:c r="O66" s="23"/>
      <x:c r="P66" s="20"/>
      <x:c r="Q66" s="20"/>
      <x:c r="R66" s="20"/>
      <x:c r="S66" s="20"/>
      <x:c r="T66" s="23"/>
      <x:c r="U66" s="20" t="str">
        <x:f>IF(A66="","",IF(AND(O66&lt;&gt;"",O66&lt;TODAY()),"YES","NO"))</x:f>
      </x:c>
    </x:row>
    <x:row r="67">
      <x:c r="A67" s="20"/>
      <x:c r="B67" s="20"/>
      <x:c r="C67" s="20"/>
      <x:c r="D67" s="20"/>
      <x:c r="E67" s="20"/>
      <x:c r="F67" s="20"/>
      <x:c r="G67" s="20"/>
      <x:c r="H67" s="20"/>
      <x:c r="I67" s="20"/>
      <x:c r="J67" s="23"/>
      <x:c r="K67" s="20"/>
      <x:c r="L67" s="20"/>
      <x:c r="M67" s="20"/>
      <x:c r="N67" s="23"/>
      <x:c r="O67" s="23"/>
      <x:c r="P67" s="20"/>
      <x:c r="Q67" s="20"/>
      <x:c r="R67" s="20"/>
      <x:c r="S67" s="20"/>
      <x:c r="T67" s="23"/>
      <x:c r="U67" s="20" t="str">
        <x:f>IF(A67="","",IF(AND(O67&lt;&gt;"",O67&lt;TODAY()),"YES","NO"))</x:f>
      </x:c>
    </x:row>
    <x:row r="68">
      <x:c r="A68" s="20"/>
      <x:c r="B68" s="20"/>
      <x:c r="C68" s="20"/>
      <x:c r="D68" s="20"/>
      <x:c r="E68" s="20"/>
      <x:c r="F68" s="20"/>
      <x:c r="G68" s="20"/>
      <x:c r="H68" s="20"/>
      <x:c r="I68" s="20"/>
      <x:c r="J68" s="23"/>
      <x:c r="K68" s="20"/>
      <x:c r="L68" s="20"/>
      <x:c r="M68" s="20"/>
      <x:c r="N68" s="23"/>
      <x:c r="O68" s="23"/>
      <x:c r="P68" s="20"/>
      <x:c r="Q68" s="20"/>
      <x:c r="R68" s="20"/>
      <x:c r="S68" s="20"/>
      <x:c r="T68" s="23"/>
      <x:c r="U68" s="20" t="str">
        <x:f>IF(A68="","",IF(AND(O68&lt;&gt;"",O68&lt;TODAY()),"YES","NO"))</x:f>
      </x:c>
    </x:row>
    <x:row r="69">
      <x:c r="A69" s="20"/>
      <x:c r="B69" s="20"/>
      <x:c r="C69" s="20"/>
      <x:c r="D69" s="20"/>
      <x:c r="E69" s="20"/>
      <x:c r="F69" s="20"/>
      <x:c r="G69" s="20"/>
      <x:c r="H69" s="20"/>
      <x:c r="I69" s="20"/>
      <x:c r="J69" s="23"/>
      <x:c r="K69" s="20"/>
      <x:c r="L69" s="20"/>
      <x:c r="M69" s="20"/>
      <x:c r="N69" s="23"/>
      <x:c r="O69" s="23"/>
      <x:c r="P69" s="20"/>
      <x:c r="Q69" s="20"/>
      <x:c r="R69" s="20"/>
      <x:c r="S69" s="20"/>
      <x:c r="T69" s="23"/>
      <x:c r="U69" s="20" t="str">
        <x:f>IF(A69="","",IF(AND(O69&lt;&gt;"",O69&lt;TODAY()),"YES","NO"))</x:f>
      </x:c>
    </x:row>
    <x:row r="70">
      <x:c r="A70" s="20"/>
      <x:c r="B70" s="20"/>
      <x:c r="C70" s="20"/>
      <x:c r="D70" s="20"/>
      <x:c r="E70" s="20"/>
      <x:c r="F70" s="20"/>
      <x:c r="G70" s="20"/>
      <x:c r="H70" s="20"/>
      <x:c r="I70" s="20"/>
      <x:c r="J70" s="23"/>
      <x:c r="K70" s="20"/>
      <x:c r="L70" s="20"/>
      <x:c r="M70" s="20"/>
      <x:c r="N70" s="23"/>
      <x:c r="O70" s="23"/>
      <x:c r="P70" s="20"/>
      <x:c r="Q70" s="20"/>
      <x:c r="R70" s="20"/>
      <x:c r="S70" s="20"/>
      <x:c r="T70" s="23"/>
      <x:c r="U70" s="20" t="str">
        <x:f>IF(A70="","",IF(AND(O70&lt;&gt;"",O70&lt;TODAY()),"YES","NO"))</x:f>
      </x:c>
    </x:row>
    <x:row r="71">
      <x:c r="A71" s="20"/>
      <x:c r="B71" s="20"/>
      <x:c r="C71" s="20"/>
      <x:c r="D71" s="20"/>
      <x:c r="E71" s="20"/>
      <x:c r="F71" s="20"/>
      <x:c r="G71" s="20"/>
      <x:c r="H71" s="20"/>
      <x:c r="I71" s="20"/>
      <x:c r="J71" s="23"/>
      <x:c r="K71" s="20"/>
      <x:c r="L71" s="20"/>
      <x:c r="M71" s="20"/>
      <x:c r="N71" s="23"/>
      <x:c r="O71" s="23"/>
      <x:c r="P71" s="20"/>
      <x:c r="Q71" s="20"/>
      <x:c r="R71" s="20"/>
      <x:c r="S71" s="20"/>
      <x:c r="T71" s="23"/>
      <x:c r="U71" s="20" t="str">
        <x:f>IF(A71="","",IF(AND(O71&lt;&gt;"",O71&lt;TODAY()),"YES","NO"))</x:f>
      </x:c>
    </x:row>
    <x:row r="72">
      <x:c r="A72" s="20"/>
      <x:c r="B72" s="20"/>
      <x:c r="C72" s="20"/>
      <x:c r="D72" s="20"/>
      <x:c r="E72" s="20"/>
      <x:c r="F72" s="20"/>
      <x:c r="G72" s="20"/>
      <x:c r="H72" s="20"/>
      <x:c r="I72" s="20"/>
      <x:c r="J72" s="23"/>
      <x:c r="K72" s="20"/>
      <x:c r="L72" s="20"/>
      <x:c r="M72" s="20"/>
      <x:c r="N72" s="23"/>
      <x:c r="O72" s="23"/>
      <x:c r="P72" s="20"/>
      <x:c r="Q72" s="20"/>
      <x:c r="R72" s="20"/>
      <x:c r="S72" s="20"/>
      <x:c r="T72" s="23"/>
      <x:c r="U72" s="20" t="str">
        <x:f>IF(A72="","",IF(AND(O72&lt;&gt;"",O72&lt;TODAY()),"YES","NO"))</x:f>
      </x:c>
    </x:row>
    <x:row r="73">
      <x:c r="A73" s="20"/>
      <x:c r="B73" s="20"/>
      <x:c r="C73" s="20"/>
      <x:c r="D73" s="20"/>
      <x:c r="E73" s="20"/>
      <x:c r="F73" s="20"/>
      <x:c r="G73" s="20"/>
      <x:c r="H73" s="20"/>
      <x:c r="I73" s="20"/>
      <x:c r="J73" s="23"/>
      <x:c r="K73" s="20"/>
      <x:c r="L73" s="20"/>
      <x:c r="M73" s="20"/>
      <x:c r="N73" s="23"/>
      <x:c r="O73" s="23"/>
      <x:c r="P73" s="20"/>
      <x:c r="Q73" s="20"/>
      <x:c r="R73" s="20"/>
      <x:c r="S73" s="20"/>
      <x:c r="T73" s="23"/>
      <x:c r="U73" s="20" t="str">
        <x:f>IF(A73="","",IF(AND(O73&lt;&gt;"",O73&lt;TODAY()),"YES","NO"))</x:f>
      </x:c>
    </x:row>
    <x:row r="74">
      <x:c r="A74" s="20"/>
      <x:c r="B74" s="20"/>
      <x:c r="C74" s="20"/>
      <x:c r="D74" s="20"/>
      <x:c r="E74" s="20"/>
      <x:c r="F74" s="20"/>
      <x:c r="G74" s="20"/>
      <x:c r="H74" s="20"/>
      <x:c r="I74" s="20"/>
      <x:c r="J74" s="23"/>
      <x:c r="K74" s="20"/>
      <x:c r="L74" s="20"/>
      <x:c r="M74" s="20"/>
      <x:c r="N74" s="23"/>
      <x:c r="O74" s="23"/>
      <x:c r="P74" s="20"/>
      <x:c r="Q74" s="20"/>
      <x:c r="R74" s="20"/>
      <x:c r="S74" s="20"/>
      <x:c r="T74" s="23"/>
      <x:c r="U74" s="20" t="str">
        <x:f>IF(A74="","",IF(AND(O74&lt;&gt;"",O74&lt;TODAY()),"YES","NO"))</x:f>
      </x:c>
    </x:row>
    <x:row r="75">
      <x:c r="A75" s="20"/>
      <x:c r="B75" s="20"/>
      <x:c r="C75" s="20"/>
      <x:c r="D75" s="20"/>
      <x:c r="E75" s="20"/>
      <x:c r="F75" s="20"/>
      <x:c r="G75" s="20"/>
      <x:c r="H75" s="20"/>
      <x:c r="I75" s="20"/>
      <x:c r="J75" s="23"/>
      <x:c r="K75" s="20"/>
      <x:c r="L75" s="20"/>
      <x:c r="M75" s="20"/>
      <x:c r="N75" s="23"/>
      <x:c r="O75" s="23"/>
      <x:c r="P75" s="20"/>
      <x:c r="Q75" s="20"/>
      <x:c r="R75" s="20"/>
      <x:c r="S75" s="20"/>
      <x:c r="T75" s="23"/>
      <x:c r="U75" s="20" t="str">
        <x:f>IF(A75="","",IF(AND(O75&lt;&gt;"",O75&lt;TODAY()),"YES","NO"))</x:f>
      </x:c>
    </x:row>
    <x:row r="76">
      <x:c r="A76" s="20"/>
      <x:c r="B76" s="20"/>
      <x:c r="C76" s="20"/>
      <x:c r="D76" s="20"/>
      <x:c r="E76" s="20"/>
      <x:c r="F76" s="20"/>
      <x:c r="G76" s="20"/>
      <x:c r="H76" s="20"/>
      <x:c r="I76" s="20"/>
      <x:c r="J76" s="23"/>
      <x:c r="K76" s="20"/>
      <x:c r="L76" s="20"/>
      <x:c r="M76" s="20"/>
      <x:c r="N76" s="23"/>
      <x:c r="O76" s="23"/>
      <x:c r="P76" s="20"/>
      <x:c r="Q76" s="20"/>
      <x:c r="R76" s="20"/>
      <x:c r="S76" s="20"/>
      <x:c r="T76" s="23"/>
      <x:c r="U76" s="20" t="str">
        <x:f>IF(A76="","",IF(AND(O76&lt;&gt;"",O76&lt;TODAY()),"YES","NO"))</x:f>
      </x:c>
    </x:row>
    <x:row r="77">
      <x:c r="A77" s="20"/>
      <x:c r="B77" s="20"/>
      <x:c r="C77" s="20"/>
      <x:c r="D77" s="20"/>
      <x:c r="E77" s="20"/>
      <x:c r="F77" s="20"/>
      <x:c r="G77" s="20"/>
      <x:c r="H77" s="20"/>
      <x:c r="I77" s="20"/>
      <x:c r="J77" s="23"/>
      <x:c r="K77" s="20"/>
      <x:c r="L77" s="20"/>
      <x:c r="M77" s="20"/>
      <x:c r="N77" s="23"/>
      <x:c r="O77" s="23"/>
      <x:c r="P77" s="20"/>
      <x:c r="Q77" s="20"/>
      <x:c r="R77" s="20"/>
      <x:c r="S77" s="20"/>
      <x:c r="T77" s="23"/>
      <x:c r="U77" s="20" t="str">
        <x:f>IF(A77="","",IF(AND(O77&lt;&gt;"",O77&lt;TODAY()),"YES","NO"))</x:f>
      </x:c>
    </x:row>
    <x:row r="78">
      <x:c r="A78" s="20"/>
      <x:c r="B78" s="20"/>
      <x:c r="C78" s="20"/>
      <x:c r="D78" s="20"/>
      <x:c r="E78" s="20"/>
      <x:c r="F78" s="20"/>
      <x:c r="G78" s="20"/>
      <x:c r="H78" s="20"/>
      <x:c r="I78" s="20"/>
      <x:c r="J78" s="23"/>
      <x:c r="K78" s="20"/>
      <x:c r="L78" s="20"/>
      <x:c r="M78" s="20"/>
      <x:c r="N78" s="23"/>
      <x:c r="O78" s="23"/>
      <x:c r="P78" s="20"/>
      <x:c r="Q78" s="20"/>
      <x:c r="R78" s="20"/>
      <x:c r="S78" s="20"/>
      <x:c r="T78" s="23"/>
      <x:c r="U78" s="20" t="str">
        <x:f>IF(A78="","",IF(AND(O78&lt;&gt;"",O78&lt;TODAY()),"YES","NO"))</x:f>
      </x:c>
    </x:row>
    <x:row r="79">
      <x:c r="A79" s="20"/>
      <x:c r="B79" s="20"/>
      <x:c r="C79" s="20"/>
      <x:c r="D79" s="20"/>
      <x:c r="E79" s="20"/>
      <x:c r="F79" s="20"/>
      <x:c r="G79" s="20"/>
      <x:c r="H79" s="20"/>
      <x:c r="I79" s="20"/>
      <x:c r="J79" s="23"/>
      <x:c r="K79" s="20"/>
      <x:c r="L79" s="20"/>
      <x:c r="M79" s="20"/>
      <x:c r="N79" s="23"/>
      <x:c r="O79" s="23"/>
      <x:c r="P79" s="20"/>
      <x:c r="Q79" s="20"/>
      <x:c r="R79" s="20"/>
      <x:c r="S79" s="20"/>
      <x:c r="T79" s="23"/>
      <x:c r="U79" s="20" t="str">
        <x:f>IF(A79="","",IF(AND(O79&lt;&gt;"",O79&lt;TODAY()),"YES","NO"))</x:f>
      </x:c>
    </x:row>
    <x:row r="80">
      <x:c r="A80" s="20"/>
      <x:c r="B80" s="20"/>
      <x:c r="C80" s="20"/>
      <x:c r="D80" s="20"/>
      <x:c r="E80" s="20"/>
      <x:c r="F80" s="20"/>
      <x:c r="G80" s="20"/>
      <x:c r="H80" s="20"/>
      <x:c r="I80" s="20"/>
      <x:c r="J80" s="23"/>
      <x:c r="K80" s="20"/>
      <x:c r="L80" s="20"/>
      <x:c r="M80" s="20"/>
      <x:c r="N80" s="23"/>
      <x:c r="O80" s="23"/>
      <x:c r="P80" s="20"/>
      <x:c r="Q80" s="20"/>
      <x:c r="R80" s="20"/>
      <x:c r="S80" s="20"/>
      <x:c r="T80" s="23"/>
      <x:c r="U80" s="20" t="str">
        <x:f>IF(A80="","",IF(AND(O80&lt;&gt;"",O80&lt;TODAY()),"YES","NO"))</x:f>
      </x:c>
    </x:row>
    <x:row r="81">
      <x:c r="A81" s="20"/>
      <x:c r="B81" s="20"/>
      <x:c r="C81" s="20"/>
      <x:c r="D81" s="20"/>
      <x:c r="E81" s="20"/>
      <x:c r="F81" s="20"/>
      <x:c r="G81" s="20"/>
      <x:c r="H81" s="20"/>
      <x:c r="I81" s="20"/>
      <x:c r="J81" s="23"/>
      <x:c r="K81" s="20"/>
      <x:c r="L81" s="20"/>
      <x:c r="M81" s="20"/>
      <x:c r="N81" s="23"/>
      <x:c r="O81" s="23"/>
      <x:c r="P81" s="20"/>
      <x:c r="Q81" s="20"/>
      <x:c r="R81" s="20"/>
      <x:c r="S81" s="20"/>
      <x:c r="T81" s="23"/>
      <x:c r="U81" s="20" t="str">
        <x:f>IF(A81="","",IF(AND(O81&lt;&gt;"",O81&lt;TODAY()),"YES","NO"))</x:f>
      </x:c>
    </x:row>
    <x:row r="82">
      <x:c r="A82" s="20"/>
      <x:c r="B82" s="20"/>
      <x:c r="C82" s="20"/>
      <x:c r="D82" s="20"/>
      <x:c r="E82" s="20"/>
      <x:c r="F82" s="20"/>
      <x:c r="G82" s="20"/>
      <x:c r="H82" s="20"/>
      <x:c r="I82" s="20"/>
      <x:c r="J82" s="23"/>
      <x:c r="K82" s="20"/>
      <x:c r="L82" s="20"/>
      <x:c r="M82" s="20"/>
      <x:c r="N82" s="23"/>
      <x:c r="O82" s="23"/>
      <x:c r="P82" s="20"/>
      <x:c r="Q82" s="20"/>
      <x:c r="R82" s="20"/>
      <x:c r="S82" s="20"/>
      <x:c r="T82" s="23"/>
      <x:c r="U82" s="20" t="str">
        <x:f>IF(A82="","",IF(AND(O82&lt;&gt;"",O82&lt;TODAY()),"YES","NO"))</x:f>
      </x:c>
    </x:row>
    <x:row r="83">
      <x:c r="A83" s="20"/>
      <x:c r="B83" s="20"/>
      <x:c r="C83" s="20"/>
      <x:c r="D83" s="20"/>
      <x:c r="E83" s="20"/>
      <x:c r="F83" s="20"/>
      <x:c r="G83" s="20"/>
      <x:c r="H83" s="20"/>
      <x:c r="I83" s="20"/>
      <x:c r="J83" s="23"/>
      <x:c r="K83" s="20"/>
      <x:c r="L83" s="20"/>
      <x:c r="M83" s="20"/>
      <x:c r="N83" s="23"/>
      <x:c r="O83" s="23"/>
      <x:c r="P83" s="20"/>
      <x:c r="Q83" s="20"/>
      <x:c r="R83" s="20"/>
      <x:c r="S83" s="20"/>
      <x:c r="T83" s="23"/>
      <x:c r="U83" s="20" t="str">
        <x:f>IF(A83="","",IF(AND(O83&lt;&gt;"",O83&lt;TODAY()),"YES","NO"))</x:f>
      </x:c>
    </x:row>
    <x:row r="84">
      <x:c r="A84" s="20"/>
      <x:c r="B84" s="20"/>
      <x:c r="C84" s="20"/>
      <x:c r="D84" s="20"/>
      <x:c r="E84" s="20"/>
      <x:c r="F84" s="20"/>
      <x:c r="G84" s="20"/>
      <x:c r="H84" s="20"/>
      <x:c r="I84" s="20"/>
      <x:c r="J84" s="23"/>
      <x:c r="K84" s="20"/>
      <x:c r="L84" s="20"/>
      <x:c r="M84" s="20"/>
      <x:c r="N84" s="23"/>
      <x:c r="O84" s="23"/>
      <x:c r="P84" s="20"/>
      <x:c r="Q84" s="20"/>
      <x:c r="R84" s="20"/>
      <x:c r="S84" s="20"/>
      <x:c r="T84" s="23"/>
      <x:c r="U84" s="20" t="str">
        <x:f>IF(A84="","",IF(AND(O84&lt;&gt;"",O84&lt;TODAY()),"YES","NO"))</x:f>
      </x:c>
    </x:row>
    <x:row r="85">
      <x:c r="A85" s="20"/>
      <x:c r="B85" s="20"/>
      <x:c r="C85" s="20"/>
      <x:c r="D85" s="20"/>
      <x:c r="E85" s="20"/>
      <x:c r="F85" s="20"/>
      <x:c r="G85" s="20"/>
      <x:c r="H85" s="20"/>
      <x:c r="I85" s="20"/>
      <x:c r="J85" s="23"/>
      <x:c r="K85" s="20"/>
      <x:c r="L85" s="20"/>
      <x:c r="M85" s="20"/>
      <x:c r="N85" s="23"/>
      <x:c r="O85" s="23"/>
      <x:c r="P85" s="20"/>
      <x:c r="Q85" s="20"/>
      <x:c r="R85" s="20"/>
      <x:c r="S85" s="20"/>
      <x:c r="T85" s="23"/>
      <x:c r="U85" s="20" t="str">
        <x:f>IF(A85="","",IF(AND(O85&lt;&gt;"",O85&lt;TODAY()),"YES","NO"))</x:f>
      </x:c>
    </x:row>
    <x:row r="86">
      <x:c r="A86" s="20"/>
      <x:c r="B86" s="20"/>
      <x:c r="C86" s="20"/>
      <x:c r="D86" s="20"/>
      <x:c r="E86" s="20"/>
      <x:c r="F86" s="20"/>
      <x:c r="G86" s="20"/>
      <x:c r="H86" s="20"/>
      <x:c r="I86" s="20"/>
      <x:c r="J86" s="23"/>
      <x:c r="K86" s="20"/>
      <x:c r="L86" s="20"/>
      <x:c r="M86" s="20"/>
      <x:c r="N86" s="23"/>
      <x:c r="O86" s="23"/>
      <x:c r="P86" s="20"/>
      <x:c r="Q86" s="20"/>
      <x:c r="R86" s="20"/>
      <x:c r="S86" s="20"/>
      <x:c r="T86" s="23"/>
      <x:c r="U86" s="20" t="str">
        <x:f>IF(A86="","",IF(AND(O86&lt;&gt;"",O86&lt;TODAY()),"YES","NO"))</x:f>
      </x:c>
    </x:row>
    <x:row r="87">
      <x:c r="A87" s="20"/>
      <x:c r="B87" s="20"/>
      <x:c r="C87" s="20"/>
      <x:c r="D87" s="20"/>
      <x:c r="E87" s="20"/>
      <x:c r="F87" s="20"/>
      <x:c r="G87" s="20"/>
      <x:c r="H87" s="20"/>
      <x:c r="I87" s="20"/>
      <x:c r="J87" s="23"/>
      <x:c r="K87" s="20"/>
      <x:c r="L87" s="20"/>
      <x:c r="M87" s="20"/>
      <x:c r="N87" s="23"/>
      <x:c r="O87" s="23"/>
      <x:c r="P87" s="20"/>
      <x:c r="Q87" s="20"/>
      <x:c r="R87" s="20"/>
      <x:c r="S87" s="20"/>
      <x:c r="T87" s="23"/>
      <x:c r="U87" s="20" t="str">
        <x:f>IF(A87="","",IF(AND(O87&lt;&gt;"",O87&lt;TODAY()),"YES","NO"))</x:f>
      </x:c>
    </x:row>
    <x:row r="88">
      <x:c r="A88" s="20"/>
      <x:c r="B88" s="20"/>
      <x:c r="C88" s="20"/>
      <x:c r="D88" s="20"/>
      <x:c r="E88" s="20"/>
      <x:c r="F88" s="20"/>
      <x:c r="G88" s="20"/>
      <x:c r="H88" s="20"/>
      <x:c r="I88" s="20"/>
      <x:c r="J88" s="23"/>
      <x:c r="K88" s="20"/>
      <x:c r="L88" s="20"/>
      <x:c r="M88" s="20"/>
      <x:c r="N88" s="23"/>
      <x:c r="O88" s="23"/>
      <x:c r="P88" s="20"/>
      <x:c r="Q88" s="20"/>
      <x:c r="R88" s="20"/>
      <x:c r="S88" s="20"/>
      <x:c r="T88" s="23"/>
      <x:c r="U88" s="20" t="str">
        <x:f>IF(A88="","",IF(AND(O88&lt;&gt;"",O88&lt;TODAY()),"YES","NO"))</x:f>
      </x:c>
    </x:row>
    <x:row r="89">
      <x:c r="A89" s="20"/>
      <x:c r="B89" s="20"/>
      <x:c r="C89" s="20"/>
      <x:c r="D89" s="20"/>
      <x:c r="E89" s="20"/>
      <x:c r="F89" s="20"/>
      <x:c r="G89" s="20"/>
      <x:c r="H89" s="20"/>
      <x:c r="I89" s="20"/>
      <x:c r="J89" s="23"/>
      <x:c r="K89" s="20"/>
      <x:c r="L89" s="20"/>
      <x:c r="M89" s="20"/>
      <x:c r="N89" s="23"/>
      <x:c r="O89" s="23"/>
      <x:c r="P89" s="20"/>
      <x:c r="Q89" s="20"/>
      <x:c r="R89" s="20"/>
      <x:c r="S89" s="20"/>
      <x:c r="T89" s="23"/>
      <x:c r="U89" s="20" t="str">
        <x:f>IF(A89="","",IF(AND(O89&lt;&gt;"",O89&lt;TODAY()),"YES","NO"))</x:f>
      </x:c>
    </x:row>
    <x:row r="90">
      <x:c r="A90" s="20"/>
      <x:c r="B90" s="20"/>
      <x:c r="C90" s="20"/>
      <x:c r="D90" s="20"/>
      <x:c r="E90" s="20"/>
      <x:c r="F90" s="20"/>
      <x:c r="G90" s="20"/>
      <x:c r="H90" s="20"/>
      <x:c r="I90" s="20"/>
      <x:c r="J90" s="23"/>
      <x:c r="K90" s="20"/>
      <x:c r="L90" s="20"/>
      <x:c r="M90" s="20"/>
      <x:c r="N90" s="23"/>
      <x:c r="O90" s="23"/>
      <x:c r="P90" s="20"/>
      <x:c r="Q90" s="20"/>
      <x:c r="R90" s="20"/>
      <x:c r="S90" s="20"/>
      <x:c r="T90" s="23"/>
      <x:c r="U90" s="20" t="str">
        <x:f>IF(A90="","",IF(AND(O90&lt;&gt;"",O90&lt;TODAY()),"YES","NO"))</x:f>
      </x:c>
    </x:row>
    <x:row r="91">
      <x:c r="A91" s="20"/>
      <x:c r="B91" s="20"/>
      <x:c r="C91" s="20"/>
      <x:c r="D91" s="20"/>
      <x:c r="E91" s="20"/>
      <x:c r="F91" s="20"/>
      <x:c r="G91" s="20"/>
      <x:c r="H91" s="20"/>
      <x:c r="I91" s="20"/>
      <x:c r="J91" s="23"/>
      <x:c r="K91" s="20"/>
      <x:c r="L91" s="20"/>
      <x:c r="M91" s="20"/>
      <x:c r="N91" s="23"/>
      <x:c r="O91" s="23"/>
      <x:c r="P91" s="20"/>
      <x:c r="Q91" s="20"/>
      <x:c r="R91" s="20"/>
      <x:c r="S91" s="20"/>
      <x:c r="T91" s="23"/>
      <x:c r="U91" s="20" t="str">
        <x:f>IF(A91="","",IF(AND(O91&lt;&gt;"",O91&lt;TODAY()),"YES","NO"))</x:f>
      </x:c>
    </x:row>
    <x:row r="92">
      <x:c r="A92" s="20"/>
      <x:c r="B92" s="20"/>
      <x:c r="C92" s="20"/>
      <x:c r="D92" s="20"/>
      <x:c r="E92" s="20"/>
      <x:c r="F92" s="20"/>
      <x:c r="G92" s="20"/>
      <x:c r="H92" s="20"/>
      <x:c r="I92" s="20"/>
      <x:c r="J92" s="23"/>
      <x:c r="K92" s="20"/>
      <x:c r="L92" s="20"/>
      <x:c r="M92" s="20"/>
      <x:c r="N92" s="23"/>
      <x:c r="O92" s="23"/>
      <x:c r="P92" s="20"/>
      <x:c r="Q92" s="20"/>
      <x:c r="R92" s="20"/>
      <x:c r="S92" s="20"/>
      <x:c r="T92" s="23"/>
      <x:c r="U92" s="20" t="str">
        <x:f>IF(A92="","",IF(AND(O92&lt;&gt;"",O92&lt;TODAY()),"YES","NO"))</x:f>
      </x:c>
    </x:row>
    <x:row r="93">
      <x:c r="A93" s="20"/>
      <x:c r="B93" s="20"/>
      <x:c r="C93" s="20"/>
      <x:c r="D93" s="20"/>
      <x:c r="E93" s="20"/>
      <x:c r="F93" s="20"/>
      <x:c r="G93" s="20"/>
      <x:c r="H93" s="20"/>
      <x:c r="I93" s="20"/>
      <x:c r="J93" s="23"/>
      <x:c r="K93" s="20"/>
      <x:c r="L93" s="20"/>
      <x:c r="M93" s="20"/>
      <x:c r="N93" s="23"/>
      <x:c r="O93" s="23"/>
      <x:c r="P93" s="20"/>
      <x:c r="Q93" s="20"/>
      <x:c r="R93" s="20"/>
      <x:c r="S93" s="20"/>
      <x:c r="T93" s="23"/>
      <x:c r="U93" s="20" t="str">
        <x:f>IF(A93="","",IF(AND(O93&lt;&gt;"",O93&lt;TODAY()),"YES","NO"))</x:f>
      </x:c>
    </x:row>
    <x:row r="94">
      <x:c r="A94" s="20"/>
      <x:c r="B94" s="20"/>
      <x:c r="C94" s="20"/>
      <x:c r="D94" s="20"/>
      <x:c r="E94" s="20"/>
      <x:c r="F94" s="20"/>
      <x:c r="G94" s="20"/>
      <x:c r="H94" s="20"/>
      <x:c r="I94" s="20"/>
      <x:c r="J94" s="23"/>
      <x:c r="K94" s="20"/>
      <x:c r="L94" s="20"/>
      <x:c r="M94" s="20"/>
      <x:c r="N94" s="23"/>
      <x:c r="O94" s="23"/>
      <x:c r="P94" s="20"/>
      <x:c r="Q94" s="20"/>
      <x:c r="R94" s="20"/>
      <x:c r="S94" s="20"/>
      <x:c r="T94" s="23"/>
      <x:c r="U94" s="20" t="str">
        <x:f>IF(A94="","",IF(AND(O94&lt;&gt;"",O94&lt;TODAY()),"YES","NO"))</x:f>
      </x:c>
    </x:row>
    <x:row r="95">
      <x:c r="A95" s="20"/>
      <x:c r="B95" s="20"/>
      <x:c r="C95" s="20"/>
      <x:c r="D95" s="20"/>
      <x:c r="E95" s="20"/>
      <x:c r="F95" s="20"/>
      <x:c r="G95" s="20"/>
      <x:c r="H95" s="20"/>
      <x:c r="I95" s="20"/>
      <x:c r="J95" s="23"/>
      <x:c r="K95" s="20"/>
      <x:c r="L95" s="20"/>
      <x:c r="M95" s="20"/>
      <x:c r="N95" s="23"/>
      <x:c r="O95" s="23"/>
      <x:c r="P95" s="20"/>
      <x:c r="Q95" s="20"/>
      <x:c r="R95" s="20"/>
      <x:c r="S95" s="20"/>
      <x:c r="T95" s="23"/>
      <x:c r="U95" s="20" t="str">
        <x:f>IF(A95="","",IF(AND(O95&lt;&gt;"",O95&lt;TODAY()),"YES","NO"))</x:f>
      </x:c>
    </x:row>
    <x:row r="96">
      <x:c r="A96" s="20"/>
      <x:c r="B96" s="20"/>
      <x:c r="C96" s="20"/>
      <x:c r="D96" s="20"/>
      <x:c r="E96" s="20"/>
      <x:c r="F96" s="20"/>
      <x:c r="G96" s="20"/>
      <x:c r="H96" s="20"/>
      <x:c r="I96" s="20"/>
      <x:c r="J96" s="23"/>
      <x:c r="K96" s="20"/>
      <x:c r="L96" s="20"/>
      <x:c r="M96" s="20"/>
      <x:c r="N96" s="23"/>
      <x:c r="O96" s="23"/>
      <x:c r="P96" s="20"/>
      <x:c r="Q96" s="20"/>
      <x:c r="R96" s="20"/>
      <x:c r="S96" s="20"/>
      <x:c r="T96" s="23"/>
      <x:c r="U96" s="20" t="str">
        <x:f>IF(A96="","",IF(AND(O96&lt;&gt;"",O96&lt;TODAY()),"YES","NO"))</x:f>
      </x:c>
    </x:row>
    <x:row r="97">
      <x:c r="A97" s="20"/>
      <x:c r="B97" s="20"/>
      <x:c r="C97" s="20"/>
      <x:c r="D97" s="20"/>
      <x:c r="E97" s="20"/>
      <x:c r="F97" s="20"/>
      <x:c r="G97" s="20"/>
      <x:c r="H97" s="20"/>
      <x:c r="I97" s="20"/>
      <x:c r="J97" s="23"/>
      <x:c r="K97" s="20"/>
      <x:c r="L97" s="20"/>
      <x:c r="M97" s="20"/>
      <x:c r="N97" s="23"/>
      <x:c r="O97" s="23"/>
      <x:c r="P97" s="20"/>
      <x:c r="Q97" s="20"/>
      <x:c r="R97" s="20"/>
      <x:c r="S97" s="20"/>
      <x:c r="T97" s="23"/>
      <x:c r="U97" s="20" t="str">
        <x:f>IF(A97="","",IF(AND(O97&lt;&gt;"",O97&lt;TODAY()),"YES","NO"))</x:f>
      </x:c>
    </x:row>
    <x:row r="98">
      <x:c r="A98" s="20"/>
      <x:c r="B98" s="20"/>
      <x:c r="C98" s="20"/>
      <x:c r="D98" s="20"/>
      <x:c r="E98" s="20"/>
      <x:c r="F98" s="20"/>
      <x:c r="G98" s="20"/>
      <x:c r="H98" s="20"/>
      <x:c r="I98" s="20"/>
      <x:c r="J98" s="23"/>
      <x:c r="K98" s="20"/>
      <x:c r="L98" s="20"/>
      <x:c r="M98" s="20"/>
      <x:c r="N98" s="23"/>
      <x:c r="O98" s="23"/>
      <x:c r="P98" s="20"/>
      <x:c r="Q98" s="20"/>
      <x:c r="R98" s="20"/>
      <x:c r="S98" s="20"/>
      <x:c r="T98" s="23"/>
      <x:c r="U98" s="20" t="str">
        <x:f>IF(A98="","",IF(AND(O98&lt;&gt;"",O98&lt;TODAY()),"YES","NO"))</x:f>
      </x:c>
    </x:row>
    <x:row r="99">
      <x:c r="A99" s="20"/>
      <x:c r="B99" s="20"/>
      <x:c r="C99" s="20"/>
      <x:c r="D99" s="20"/>
      <x:c r="E99" s="20"/>
      <x:c r="F99" s="20"/>
      <x:c r="G99" s="20"/>
      <x:c r="H99" s="20"/>
      <x:c r="I99" s="20"/>
      <x:c r="J99" s="23"/>
      <x:c r="K99" s="20"/>
      <x:c r="L99" s="20"/>
      <x:c r="M99" s="20"/>
      <x:c r="N99" s="23"/>
      <x:c r="O99" s="23"/>
      <x:c r="P99" s="20"/>
      <x:c r="Q99" s="20"/>
      <x:c r="R99" s="20"/>
      <x:c r="S99" s="20"/>
      <x:c r="T99" s="23"/>
      <x:c r="U99" s="20" t="str">
        <x:f>IF(A99="","",IF(AND(O99&lt;&gt;"",O99&lt;TODAY()),"YES","NO"))</x:f>
      </x:c>
    </x:row>
    <x:row r="100">
      <x:c r="A100" s="20"/>
      <x:c r="B100" s="20"/>
      <x:c r="C100" s="20"/>
      <x:c r="D100" s="20"/>
      <x:c r="E100" s="20"/>
      <x:c r="F100" s="20"/>
      <x:c r="G100" s="20"/>
      <x:c r="H100" s="20"/>
      <x:c r="I100" s="20"/>
      <x:c r="J100" s="23"/>
      <x:c r="K100" s="20"/>
      <x:c r="L100" s="20"/>
      <x:c r="M100" s="20"/>
      <x:c r="N100" s="23"/>
      <x:c r="O100" s="23"/>
      <x:c r="P100" s="20"/>
      <x:c r="Q100" s="20"/>
      <x:c r="R100" s="20"/>
      <x:c r="S100" s="20"/>
      <x:c r="T100" s="23"/>
      <x:c r="U100" s="20" t="str">
        <x:f>IF(A100="","",IF(AND(O100&lt;&gt;"",O100&lt;TODAY()),"YES","NO"))</x:f>
      </x:c>
    </x:row>
    <x:row r="101">
      <x:c r="A101" s="20"/>
      <x:c r="B101" s="20"/>
      <x:c r="C101" s="20"/>
      <x:c r="D101" s="20"/>
      <x:c r="E101" s="20"/>
      <x:c r="F101" s="20"/>
      <x:c r="G101" s="20"/>
      <x:c r="H101" s="20"/>
      <x:c r="I101" s="20"/>
      <x:c r="J101" s="23"/>
      <x:c r="K101" s="20"/>
      <x:c r="L101" s="20"/>
      <x:c r="M101" s="20"/>
      <x:c r="N101" s="23"/>
      <x:c r="O101" s="23"/>
      <x:c r="P101" s="20"/>
      <x:c r="Q101" s="20"/>
      <x:c r="R101" s="20"/>
      <x:c r="S101" s="20"/>
      <x:c r="T101" s="23"/>
      <x:c r="U101" s="20" t="str">
        <x:f>IF(A101="","",IF(AND(O101&lt;&gt;"",O101&lt;TODAY()),"YES","NO"))</x:f>
      </x:c>
    </x:row>
    <x:row r="102">
      <x:c r="A102" s="20"/>
      <x:c r="B102" s="20"/>
      <x:c r="C102" s="20"/>
      <x:c r="D102" s="20"/>
      <x:c r="E102" s="20"/>
      <x:c r="F102" s="20"/>
      <x:c r="G102" s="20"/>
      <x:c r="H102" s="20"/>
      <x:c r="I102" s="20"/>
      <x:c r="J102" s="23"/>
      <x:c r="K102" s="20"/>
      <x:c r="L102" s="20"/>
      <x:c r="M102" s="20"/>
      <x:c r="N102" s="23"/>
      <x:c r="O102" s="23"/>
      <x:c r="P102" s="20"/>
      <x:c r="Q102" s="20"/>
      <x:c r="R102" s="20"/>
      <x:c r="S102" s="20"/>
      <x:c r="T102" s="23"/>
      <x:c r="U102" s="20" t="str">
        <x:f>IF(A102="","",IF(AND(O102&lt;&gt;"",O102&lt;TODAY()),"YES","NO"))</x:f>
      </x:c>
    </x:row>
    <x:row r="103">
      <x:c r="A103" s="20"/>
      <x:c r="B103" s="20"/>
      <x:c r="C103" s="20"/>
      <x:c r="D103" s="20"/>
      <x:c r="E103" s="20"/>
      <x:c r="F103" s="20"/>
      <x:c r="G103" s="20"/>
      <x:c r="H103" s="20"/>
      <x:c r="I103" s="20"/>
      <x:c r="J103" s="23"/>
      <x:c r="K103" s="20"/>
      <x:c r="L103" s="20"/>
      <x:c r="M103" s="20"/>
      <x:c r="N103" s="23"/>
      <x:c r="O103" s="23"/>
      <x:c r="P103" s="20"/>
      <x:c r="Q103" s="20"/>
      <x:c r="R103" s="20"/>
      <x:c r="S103" s="20"/>
      <x:c r="T103" s="23"/>
      <x:c r="U103" s="20" t="str">
        <x:f>IF(A103="","",IF(AND(O103&lt;&gt;"",O103&lt;TODAY()),"YES","NO"))</x:f>
      </x:c>
    </x:row>
    <x:row r="104">
      <x:c r="A104" s="20"/>
      <x:c r="B104" s="20"/>
      <x:c r="C104" s="20"/>
      <x:c r="D104" s="20"/>
      <x:c r="E104" s="20"/>
      <x:c r="F104" s="20"/>
      <x:c r="G104" s="20"/>
      <x:c r="H104" s="20"/>
      <x:c r="I104" s="20"/>
      <x:c r="J104" s="23"/>
      <x:c r="K104" s="20"/>
      <x:c r="L104" s="20"/>
      <x:c r="M104" s="20"/>
      <x:c r="N104" s="23"/>
      <x:c r="O104" s="23"/>
      <x:c r="P104" s="20"/>
      <x:c r="Q104" s="20"/>
      <x:c r="R104" s="20"/>
      <x:c r="S104" s="20"/>
      <x:c r="T104" s="23"/>
      <x:c r="U104" s="20" t="str">
        <x:f>IF(A104="","",IF(AND(O104&lt;&gt;"",O104&lt;TODAY()),"YES","NO"))</x:f>
      </x:c>
    </x:row>
    <x:row r="105">
      <x:c r="A105" s="20"/>
      <x:c r="B105" s="20"/>
      <x:c r="C105" s="20"/>
      <x:c r="D105" s="20"/>
      <x:c r="E105" s="20"/>
      <x:c r="F105" s="20"/>
      <x:c r="G105" s="20"/>
      <x:c r="H105" s="20"/>
      <x:c r="I105" s="20"/>
      <x:c r="J105" s="23"/>
      <x:c r="K105" s="20"/>
      <x:c r="L105" s="20"/>
      <x:c r="M105" s="20"/>
      <x:c r="N105" s="23"/>
      <x:c r="O105" s="23"/>
      <x:c r="P105" s="20"/>
      <x:c r="Q105" s="20"/>
      <x:c r="R105" s="20"/>
      <x:c r="S105" s="20"/>
      <x:c r="T105" s="23"/>
      <x:c r="U105" s="20" t="str">
        <x:f>IF(A105="","",IF(AND(O105&lt;&gt;"",O105&lt;TODAY()),"YES","NO"))</x:f>
      </x:c>
    </x:row>
    <x:row r="106">
      <x:c r="A106" s="20"/>
      <x:c r="B106" s="20"/>
      <x:c r="C106" s="20"/>
      <x:c r="D106" s="20"/>
      <x:c r="E106" s="20"/>
      <x:c r="F106" s="20"/>
      <x:c r="G106" s="20"/>
      <x:c r="H106" s="20"/>
      <x:c r="I106" s="20"/>
      <x:c r="J106" s="23"/>
      <x:c r="K106" s="20"/>
      <x:c r="L106" s="20"/>
      <x:c r="M106" s="20"/>
      <x:c r="N106" s="23"/>
      <x:c r="O106" s="23"/>
      <x:c r="P106" s="20"/>
      <x:c r="Q106" s="20"/>
      <x:c r="R106" s="20"/>
      <x:c r="S106" s="20"/>
      <x:c r="T106" s="23"/>
      <x:c r="U106" s="20" t="str">
        <x:f>IF(A106="","",IF(AND(O106&lt;&gt;"",O106&lt;TODAY()),"YES","NO"))</x:f>
      </x:c>
    </x:row>
    <x:row r="107">
      <x:c r="A107" s="20"/>
      <x:c r="B107" s="20"/>
      <x:c r="C107" s="20"/>
      <x:c r="D107" s="20"/>
      <x:c r="E107" s="20"/>
      <x:c r="F107" s="20"/>
      <x:c r="G107" s="20"/>
      <x:c r="H107" s="20"/>
      <x:c r="I107" s="20"/>
      <x:c r="J107" s="23"/>
      <x:c r="K107" s="20"/>
      <x:c r="L107" s="20"/>
      <x:c r="M107" s="20"/>
      <x:c r="N107" s="23"/>
      <x:c r="O107" s="23"/>
      <x:c r="P107" s="20"/>
      <x:c r="Q107" s="20"/>
      <x:c r="R107" s="20"/>
      <x:c r="S107" s="20"/>
      <x:c r="T107" s="23"/>
      <x:c r="U107" s="20" t="str">
        <x:f>IF(A107="","",IF(AND(O107&lt;&gt;"",O107&lt;TODAY()),"YES","NO"))</x:f>
      </x:c>
    </x:row>
    <x:row r="108">
      <x:c r="A108" s="20"/>
      <x:c r="B108" s="20"/>
      <x:c r="C108" s="20"/>
      <x:c r="D108" s="20"/>
      <x:c r="E108" s="20"/>
      <x:c r="F108" s="20"/>
      <x:c r="G108" s="20"/>
      <x:c r="H108" s="20"/>
      <x:c r="I108" s="20"/>
      <x:c r="J108" s="23"/>
      <x:c r="K108" s="20"/>
      <x:c r="L108" s="20"/>
      <x:c r="M108" s="20"/>
      <x:c r="N108" s="23"/>
      <x:c r="O108" s="23"/>
      <x:c r="P108" s="20"/>
      <x:c r="Q108" s="20"/>
      <x:c r="R108" s="20"/>
      <x:c r="S108" s="20"/>
      <x:c r="T108" s="23"/>
      <x:c r="U108" s="20" t="str">
        <x:f>IF(A108="","",IF(AND(O108&lt;&gt;"",O108&lt;TODAY()),"YES","NO"))</x:f>
      </x:c>
    </x:row>
    <x:row r="109">
      <x:c r="A109" s="20"/>
      <x:c r="B109" s="20"/>
      <x:c r="C109" s="20"/>
      <x:c r="D109" s="20"/>
      <x:c r="E109" s="20"/>
      <x:c r="F109" s="20"/>
      <x:c r="G109" s="20"/>
      <x:c r="H109" s="20"/>
      <x:c r="I109" s="20"/>
      <x:c r="J109" s="23"/>
      <x:c r="K109" s="20"/>
      <x:c r="L109" s="20"/>
      <x:c r="M109" s="20"/>
      <x:c r="N109" s="23"/>
      <x:c r="O109" s="23"/>
      <x:c r="P109" s="20"/>
      <x:c r="Q109" s="20"/>
      <x:c r="R109" s="20"/>
      <x:c r="S109" s="20"/>
      <x:c r="T109" s="23"/>
      <x:c r="U109" s="20" t="str">
        <x:f>IF(A109="","",IF(AND(O109&lt;&gt;"",O109&lt;TODAY()),"YES","NO"))</x:f>
      </x:c>
    </x:row>
    <x:row r="110">
      <x:c r="A110" s="20"/>
      <x:c r="B110" s="20"/>
      <x:c r="C110" s="20"/>
      <x:c r="D110" s="20"/>
      <x:c r="E110" s="20"/>
      <x:c r="F110" s="20"/>
      <x:c r="G110" s="20"/>
      <x:c r="H110" s="20"/>
      <x:c r="I110" s="20"/>
      <x:c r="J110" s="23"/>
      <x:c r="K110" s="20"/>
      <x:c r="L110" s="20"/>
      <x:c r="M110" s="20"/>
      <x:c r="N110" s="23"/>
      <x:c r="O110" s="23"/>
      <x:c r="P110" s="20"/>
      <x:c r="Q110" s="20"/>
      <x:c r="R110" s="20"/>
      <x:c r="S110" s="20"/>
      <x:c r="T110" s="23"/>
      <x:c r="U110" s="20" t="str">
        <x:f>IF(A110="","",IF(AND(O110&lt;&gt;"",O110&lt;TODAY()),"YES","NO"))</x:f>
      </x:c>
    </x:row>
    <x:row r="111">
      <x:c r="A111" s="20"/>
      <x:c r="B111" s="20"/>
      <x:c r="C111" s="20"/>
      <x:c r="D111" s="20"/>
      <x:c r="E111" s="20"/>
      <x:c r="F111" s="20"/>
      <x:c r="G111" s="20"/>
      <x:c r="H111" s="20"/>
      <x:c r="I111" s="20"/>
      <x:c r="J111" s="23"/>
      <x:c r="K111" s="20"/>
      <x:c r="L111" s="20"/>
      <x:c r="M111" s="20"/>
      <x:c r="N111" s="23"/>
      <x:c r="O111" s="23"/>
      <x:c r="P111" s="20"/>
      <x:c r="Q111" s="20"/>
      <x:c r="R111" s="20"/>
      <x:c r="S111" s="20"/>
      <x:c r="T111" s="23"/>
      <x:c r="U111" s="20" t="str">
        <x:f>IF(A111="","",IF(AND(O111&lt;&gt;"",O111&lt;TODAY()),"YES","NO"))</x:f>
      </x:c>
    </x:row>
    <x:row r="112">
      <x:c r="A112" s="20"/>
      <x:c r="B112" s="20"/>
      <x:c r="C112" s="20"/>
      <x:c r="D112" s="20"/>
      <x:c r="E112" s="20"/>
      <x:c r="F112" s="20"/>
      <x:c r="G112" s="20"/>
      <x:c r="H112" s="20"/>
      <x:c r="I112" s="20"/>
      <x:c r="J112" s="23"/>
      <x:c r="K112" s="20"/>
      <x:c r="L112" s="20"/>
      <x:c r="M112" s="20"/>
      <x:c r="N112" s="23"/>
      <x:c r="O112" s="23"/>
      <x:c r="P112" s="20"/>
      <x:c r="Q112" s="20"/>
      <x:c r="R112" s="20"/>
      <x:c r="S112" s="20"/>
      <x:c r="T112" s="23"/>
      <x:c r="U112" s="20" t="str">
        <x:f>IF(A112="","",IF(AND(O112&lt;&gt;"",O112&lt;TODAY()),"YES","NO"))</x:f>
      </x:c>
    </x:row>
    <x:row r="113">
      <x:c r="A113" s="20"/>
      <x:c r="B113" s="20"/>
      <x:c r="C113" s="20"/>
      <x:c r="D113" s="20"/>
      <x:c r="E113" s="20"/>
      <x:c r="F113" s="20"/>
      <x:c r="G113" s="20"/>
      <x:c r="H113" s="20"/>
      <x:c r="I113" s="20"/>
      <x:c r="J113" s="23"/>
      <x:c r="K113" s="20"/>
      <x:c r="L113" s="20"/>
      <x:c r="M113" s="20"/>
      <x:c r="N113" s="23"/>
      <x:c r="O113" s="23"/>
      <x:c r="P113" s="20"/>
      <x:c r="Q113" s="20"/>
      <x:c r="R113" s="20"/>
      <x:c r="S113" s="20"/>
      <x:c r="T113" s="23"/>
      <x:c r="U113" s="20" t="str">
        <x:f>IF(A113="","",IF(AND(O113&lt;&gt;"",O113&lt;TODAY()),"YES","NO"))</x:f>
      </x:c>
    </x:row>
    <x:row r="114">
      <x:c r="A114" s="20"/>
      <x:c r="B114" s="20"/>
      <x:c r="C114" s="20"/>
      <x:c r="D114" s="20"/>
      <x:c r="E114" s="20"/>
      <x:c r="F114" s="20"/>
      <x:c r="G114" s="20"/>
      <x:c r="H114" s="20"/>
      <x:c r="I114" s="20"/>
      <x:c r="J114" s="23"/>
      <x:c r="K114" s="20"/>
      <x:c r="L114" s="20"/>
      <x:c r="M114" s="20"/>
      <x:c r="N114" s="23"/>
      <x:c r="O114" s="23"/>
      <x:c r="P114" s="20"/>
      <x:c r="Q114" s="20"/>
      <x:c r="R114" s="20"/>
      <x:c r="S114" s="20"/>
      <x:c r="T114" s="23"/>
      <x:c r="U114" s="20" t="str">
        <x:f>IF(A114="","",IF(AND(O114&lt;&gt;"",O114&lt;TODAY()),"YES","NO"))</x:f>
      </x:c>
    </x:row>
    <x:row r="115">
      <x:c r="A115" s="20"/>
      <x:c r="B115" s="20"/>
      <x:c r="C115" s="20"/>
      <x:c r="D115" s="20"/>
      <x:c r="E115" s="20"/>
      <x:c r="F115" s="20"/>
      <x:c r="G115" s="20"/>
      <x:c r="H115" s="20"/>
      <x:c r="I115" s="20"/>
      <x:c r="J115" s="23"/>
      <x:c r="K115" s="20"/>
      <x:c r="L115" s="20"/>
      <x:c r="M115" s="20"/>
      <x:c r="N115" s="23"/>
      <x:c r="O115" s="23"/>
      <x:c r="P115" s="20"/>
      <x:c r="Q115" s="20"/>
      <x:c r="R115" s="20"/>
      <x:c r="S115" s="20"/>
      <x:c r="T115" s="23"/>
      <x:c r="U115" s="20" t="str">
        <x:f>IF(A115="","",IF(AND(O115&lt;&gt;"",O115&lt;TODAY()),"YES","NO"))</x:f>
      </x:c>
    </x:row>
    <x:row r="116">
      <x:c r="A116" s="20"/>
      <x:c r="B116" s="20"/>
      <x:c r="C116" s="20"/>
      <x:c r="D116" s="20"/>
      <x:c r="E116" s="20"/>
      <x:c r="F116" s="20"/>
      <x:c r="G116" s="20"/>
      <x:c r="H116" s="20"/>
      <x:c r="I116" s="20"/>
      <x:c r="J116" s="23"/>
      <x:c r="K116" s="20"/>
      <x:c r="L116" s="20"/>
      <x:c r="M116" s="20"/>
      <x:c r="N116" s="23"/>
      <x:c r="O116" s="23"/>
      <x:c r="P116" s="20"/>
      <x:c r="Q116" s="20"/>
      <x:c r="R116" s="20"/>
      <x:c r="S116" s="20"/>
      <x:c r="T116" s="23"/>
      <x:c r="U116" s="20" t="str">
        <x:f>IF(A116="","",IF(AND(O116&lt;&gt;"",O116&lt;TODAY()),"YES","NO"))</x:f>
      </x:c>
    </x:row>
    <x:row r="117">
      <x:c r="A117" s="20"/>
      <x:c r="B117" s="20"/>
      <x:c r="C117" s="20"/>
      <x:c r="D117" s="20"/>
      <x:c r="E117" s="20"/>
      <x:c r="F117" s="20"/>
      <x:c r="G117" s="20"/>
      <x:c r="H117" s="20"/>
      <x:c r="I117" s="20"/>
      <x:c r="J117" s="23"/>
      <x:c r="K117" s="20"/>
      <x:c r="L117" s="20"/>
      <x:c r="M117" s="20"/>
      <x:c r="N117" s="23"/>
      <x:c r="O117" s="23"/>
      <x:c r="P117" s="20"/>
      <x:c r="Q117" s="20"/>
      <x:c r="R117" s="20"/>
      <x:c r="S117" s="20"/>
      <x:c r="T117" s="23"/>
      <x:c r="U117" s="20" t="str">
        <x:f>IF(A117="","",IF(AND(O117&lt;&gt;"",O117&lt;TODAY()),"YES","NO"))</x:f>
      </x:c>
    </x:row>
    <x:row r="118">
      <x:c r="A118" s="20"/>
      <x:c r="B118" s="20"/>
      <x:c r="C118" s="20"/>
      <x:c r="D118" s="20"/>
      <x:c r="E118" s="20"/>
      <x:c r="F118" s="20"/>
      <x:c r="G118" s="20"/>
      <x:c r="H118" s="20"/>
      <x:c r="I118" s="20"/>
      <x:c r="J118" s="23"/>
      <x:c r="K118" s="20"/>
      <x:c r="L118" s="20"/>
      <x:c r="M118" s="20"/>
      <x:c r="N118" s="23"/>
      <x:c r="O118" s="23"/>
      <x:c r="P118" s="20"/>
      <x:c r="Q118" s="20"/>
      <x:c r="R118" s="20"/>
      <x:c r="S118" s="20"/>
      <x:c r="T118" s="23"/>
      <x:c r="U118" s="20" t="str">
        <x:f>IF(A118="","",IF(AND(O118&lt;&gt;"",O118&lt;TODAY()),"YES","NO"))</x:f>
      </x:c>
    </x:row>
    <x:row r="119">
      <x:c r="A119" s="20"/>
      <x:c r="B119" s="20"/>
      <x:c r="C119" s="20"/>
      <x:c r="D119" s="20"/>
      <x:c r="E119" s="20"/>
      <x:c r="F119" s="20"/>
      <x:c r="G119" s="20"/>
      <x:c r="H119" s="20"/>
      <x:c r="I119" s="20"/>
      <x:c r="J119" s="23"/>
      <x:c r="K119" s="20"/>
      <x:c r="L119" s="20"/>
      <x:c r="M119" s="20"/>
      <x:c r="N119" s="23"/>
      <x:c r="O119" s="23"/>
      <x:c r="P119" s="20"/>
      <x:c r="Q119" s="20"/>
      <x:c r="R119" s="20"/>
      <x:c r="S119" s="20"/>
      <x:c r="T119" s="23"/>
      <x:c r="U119" s="20" t="str">
        <x:f>IF(A119="","",IF(AND(O119&lt;&gt;"",O119&lt;TODAY()),"YES","NO"))</x:f>
      </x:c>
    </x:row>
    <x:row r="120">
      <x:c r="A120" s="20"/>
      <x:c r="B120" s="20"/>
      <x:c r="C120" s="20"/>
      <x:c r="D120" s="20"/>
      <x:c r="E120" s="20"/>
      <x:c r="F120" s="20"/>
      <x:c r="G120" s="20"/>
      <x:c r="H120" s="20"/>
      <x:c r="I120" s="20"/>
      <x:c r="J120" s="23"/>
      <x:c r="K120" s="20"/>
      <x:c r="L120" s="20"/>
      <x:c r="M120" s="20"/>
      <x:c r="N120" s="23"/>
      <x:c r="O120" s="23"/>
      <x:c r="P120" s="20"/>
      <x:c r="Q120" s="20"/>
      <x:c r="R120" s="20"/>
      <x:c r="S120" s="20"/>
      <x:c r="T120" s="23"/>
      <x:c r="U120" s="20" t="str">
        <x:f>IF(A120="","",IF(AND(O120&lt;&gt;"",O120&lt;TODAY()),"YES","NO"))</x:f>
      </x:c>
    </x:row>
    <x:row r="121">
      <x:c r="A121" s="20"/>
      <x:c r="B121" s="20"/>
      <x:c r="C121" s="20"/>
      <x:c r="D121" s="20"/>
      <x:c r="E121" s="20"/>
      <x:c r="F121" s="20"/>
      <x:c r="G121" s="20"/>
      <x:c r="H121" s="20"/>
      <x:c r="I121" s="20"/>
      <x:c r="J121" s="23"/>
      <x:c r="K121" s="20"/>
      <x:c r="L121" s="20"/>
      <x:c r="M121" s="20"/>
      <x:c r="N121" s="23"/>
      <x:c r="O121" s="23"/>
      <x:c r="P121" s="20"/>
      <x:c r="Q121" s="20"/>
      <x:c r="R121" s="20"/>
      <x:c r="S121" s="20"/>
      <x:c r="T121" s="23"/>
      <x:c r="U121" s="20" t="str">
        <x:f>IF(A121="","",IF(AND(O121&lt;&gt;"",O121&lt;TODAY()),"YES","NO"))</x:f>
      </x:c>
    </x:row>
    <x:row r="122">
      <x:c r="A122" s="20"/>
      <x:c r="B122" s="20"/>
      <x:c r="C122" s="20"/>
      <x:c r="D122" s="20"/>
      <x:c r="E122" s="20"/>
      <x:c r="F122" s="20"/>
      <x:c r="G122" s="20"/>
      <x:c r="H122" s="20"/>
      <x:c r="I122" s="20"/>
      <x:c r="J122" s="23"/>
      <x:c r="K122" s="20"/>
      <x:c r="L122" s="20"/>
      <x:c r="M122" s="20"/>
      <x:c r="N122" s="23"/>
      <x:c r="O122" s="23"/>
      <x:c r="P122" s="20"/>
      <x:c r="Q122" s="20"/>
      <x:c r="R122" s="20"/>
      <x:c r="S122" s="20"/>
      <x:c r="T122" s="23"/>
      <x:c r="U122" s="20" t="str">
        <x:f>IF(A122="","",IF(AND(O122&lt;&gt;"",O122&lt;TODAY()),"YES","NO"))</x:f>
      </x:c>
    </x:row>
    <x:row r="123">
      <x:c r="A123" s="20"/>
      <x:c r="B123" s="20"/>
      <x:c r="C123" s="20"/>
      <x:c r="D123" s="20"/>
      <x:c r="E123" s="20"/>
      <x:c r="F123" s="20"/>
      <x:c r="G123" s="20"/>
      <x:c r="H123" s="20"/>
      <x:c r="I123" s="20"/>
      <x:c r="J123" s="23"/>
      <x:c r="K123" s="20"/>
      <x:c r="L123" s="20"/>
      <x:c r="M123" s="20"/>
      <x:c r="N123" s="23"/>
      <x:c r="O123" s="23"/>
      <x:c r="P123" s="20"/>
      <x:c r="Q123" s="20"/>
      <x:c r="R123" s="20"/>
      <x:c r="S123" s="20"/>
      <x:c r="T123" s="23"/>
      <x:c r="U123" s="20" t="str">
        <x:f>IF(A123="","",IF(AND(O123&lt;&gt;"",O123&lt;TODAY()),"YES","NO"))</x:f>
      </x:c>
    </x:row>
    <x:row r="124">
      <x:c r="A124" s="20"/>
      <x:c r="B124" s="20"/>
      <x:c r="C124" s="20"/>
      <x:c r="D124" s="20"/>
      <x:c r="E124" s="20"/>
      <x:c r="F124" s="20"/>
      <x:c r="G124" s="20"/>
      <x:c r="H124" s="20"/>
      <x:c r="I124" s="20"/>
      <x:c r="J124" s="23"/>
      <x:c r="K124" s="20"/>
      <x:c r="L124" s="20"/>
      <x:c r="M124" s="20"/>
      <x:c r="N124" s="23"/>
      <x:c r="O124" s="23"/>
      <x:c r="P124" s="20"/>
      <x:c r="Q124" s="20"/>
      <x:c r="R124" s="20"/>
      <x:c r="S124" s="20"/>
      <x:c r="T124" s="23"/>
      <x:c r="U124" s="20" t="str">
        <x:f>IF(A124="","",IF(AND(O124&lt;&gt;"",O124&lt;TODAY()),"YES","NO"))</x:f>
      </x:c>
    </x:row>
    <x:row r="125">
      <x:c r="A125" s="20"/>
      <x:c r="B125" s="20"/>
      <x:c r="C125" s="20"/>
      <x:c r="D125" s="20"/>
      <x:c r="E125" s="20"/>
      <x:c r="F125" s="20"/>
      <x:c r="G125" s="20"/>
      <x:c r="H125" s="20"/>
      <x:c r="I125" s="20"/>
      <x:c r="J125" s="23"/>
      <x:c r="K125" s="20"/>
      <x:c r="L125" s="20"/>
      <x:c r="M125" s="20"/>
      <x:c r="N125" s="23"/>
      <x:c r="O125" s="23"/>
      <x:c r="P125" s="20"/>
      <x:c r="Q125" s="20"/>
      <x:c r="R125" s="20"/>
      <x:c r="S125" s="20"/>
      <x:c r="T125" s="23"/>
      <x:c r="U125" s="20" t="str">
        <x:f>IF(A125="","",IF(AND(O125&lt;&gt;"",O125&lt;TODAY()),"YES","NO"))</x:f>
      </x:c>
    </x:row>
    <x:row r="126">
      <x:c r="A126" s="20"/>
      <x:c r="B126" s="20"/>
      <x:c r="C126" s="20"/>
      <x:c r="D126" s="20"/>
      <x:c r="E126" s="20"/>
      <x:c r="F126" s="20"/>
      <x:c r="G126" s="20"/>
      <x:c r="H126" s="20"/>
      <x:c r="I126" s="20"/>
      <x:c r="J126" s="23"/>
      <x:c r="K126" s="20"/>
      <x:c r="L126" s="20"/>
      <x:c r="M126" s="20"/>
      <x:c r="N126" s="23"/>
      <x:c r="O126" s="23"/>
      <x:c r="P126" s="20"/>
      <x:c r="Q126" s="20"/>
      <x:c r="R126" s="20"/>
      <x:c r="S126" s="20"/>
      <x:c r="T126" s="23"/>
      <x:c r="U126" s="20" t="str">
        <x:f>IF(A126="","",IF(AND(O126&lt;&gt;"",O126&lt;TODAY()),"YES","NO"))</x:f>
      </x:c>
    </x:row>
    <x:row r="127">
      <x:c r="A127" s="20"/>
      <x:c r="B127" s="20"/>
      <x:c r="C127" s="20"/>
      <x:c r="D127" s="20"/>
      <x:c r="E127" s="20"/>
      <x:c r="F127" s="20"/>
      <x:c r="G127" s="20"/>
      <x:c r="H127" s="20"/>
      <x:c r="I127" s="20"/>
      <x:c r="J127" s="23"/>
      <x:c r="K127" s="20"/>
      <x:c r="L127" s="20"/>
      <x:c r="M127" s="20"/>
      <x:c r="N127" s="23"/>
      <x:c r="O127" s="23"/>
      <x:c r="P127" s="20"/>
      <x:c r="Q127" s="20"/>
      <x:c r="R127" s="20"/>
      <x:c r="S127" s="20"/>
      <x:c r="T127" s="23"/>
      <x:c r="U127" s="20" t="str">
        <x:f>IF(A127="","",IF(AND(O127&lt;&gt;"",O127&lt;TODAY()),"YES","NO"))</x:f>
      </x:c>
    </x:row>
    <x:row r="128">
      <x:c r="A128" s="20"/>
      <x:c r="B128" s="20"/>
      <x:c r="C128" s="20"/>
      <x:c r="D128" s="20"/>
      <x:c r="E128" s="20"/>
      <x:c r="F128" s="20"/>
      <x:c r="G128" s="20"/>
      <x:c r="H128" s="20"/>
      <x:c r="I128" s="20"/>
      <x:c r="J128" s="23"/>
      <x:c r="K128" s="20"/>
      <x:c r="L128" s="20"/>
      <x:c r="M128" s="20"/>
      <x:c r="N128" s="23"/>
      <x:c r="O128" s="23"/>
      <x:c r="P128" s="20"/>
      <x:c r="Q128" s="20"/>
      <x:c r="R128" s="20"/>
      <x:c r="S128" s="20"/>
      <x:c r="T128" s="23"/>
      <x:c r="U128" s="20" t="str">
        <x:f>IF(A128="","",IF(AND(O128&lt;&gt;"",O128&lt;TODAY()),"YES","NO"))</x:f>
      </x:c>
    </x:row>
    <x:row r="129">
      <x:c r="A129" s="20"/>
      <x:c r="B129" s="20"/>
      <x:c r="C129" s="20"/>
      <x:c r="D129" s="20"/>
      <x:c r="E129" s="20"/>
      <x:c r="F129" s="20"/>
      <x:c r="G129" s="20"/>
      <x:c r="H129" s="20"/>
      <x:c r="I129" s="20"/>
      <x:c r="J129" s="23"/>
      <x:c r="K129" s="20"/>
      <x:c r="L129" s="20"/>
      <x:c r="M129" s="20"/>
      <x:c r="N129" s="23"/>
      <x:c r="O129" s="23"/>
      <x:c r="P129" s="20"/>
      <x:c r="Q129" s="20"/>
      <x:c r="R129" s="20"/>
      <x:c r="S129" s="20"/>
      <x:c r="T129" s="23"/>
      <x:c r="U129" s="20" t="str">
        <x:f>IF(A129="","",IF(AND(O129&lt;&gt;"",O129&lt;TODAY()),"YES","NO"))</x:f>
      </x:c>
    </x:row>
    <x:row r="130">
      <x:c r="A130" s="20"/>
      <x:c r="B130" s="20"/>
      <x:c r="C130" s="20"/>
      <x:c r="D130" s="20"/>
      <x:c r="E130" s="20"/>
      <x:c r="F130" s="20"/>
      <x:c r="G130" s="20"/>
      <x:c r="H130" s="20"/>
      <x:c r="I130" s="20"/>
      <x:c r="J130" s="23"/>
      <x:c r="K130" s="20"/>
      <x:c r="L130" s="20"/>
      <x:c r="M130" s="20"/>
      <x:c r="N130" s="23"/>
      <x:c r="O130" s="23"/>
      <x:c r="P130" s="20"/>
      <x:c r="Q130" s="20"/>
      <x:c r="R130" s="20"/>
      <x:c r="S130" s="20"/>
      <x:c r="T130" s="23"/>
      <x:c r="U130" s="20" t="str">
        <x:f>IF(A130="","",IF(AND(O130&lt;&gt;"",O130&lt;TODAY()),"YES","NO"))</x:f>
      </x:c>
    </x:row>
    <x:row r="131">
      <x:c r="A131" s="20"/>
      <x:c r="B131" s="20"/>
      <x:c r="C131" s="20"/>
      <x:c r="D131" s="20"/>
      <x:c r="E131" s="20"/>
      <x:c r="F131" s="20"/>
      <x:c r="G131" s="20"/>
      <x:c r="H131" s="20"/>
      <x:c r="I131" s="20"/>
      <x:c r="J131" s="23"/>
      <x:c r="K131" s="20"/>
      <x:c r="L131" s="20"/>
      <x:c r="M131" s="20"/>
      <x:c r="N131" s="23"/>
      <x:c r="O131" s="23"/>
      <x:c r="P131" s="20"/>
      <x:c r="Q131" s="20"/>
      <x:c r="R131" s="20"/>
      <x:c r="S131" s="20"/>
      <x:c r="T131" s="23"/>
      <x:c r="U131" s="20" t="str">
        <x:f>IF(A131="","",IF(AND(O131&lt;&gt;"",O131&lt;TODAY()),"YES","NO"))</x:f>
      </x:c>
    </x:row>
    <x:row r="132">
      <x:c r="A132" s="20"/>
      <x:c r="B132" s="20"/>
      <x:c r="C132" s="20"/>
      <x:c r="D132" s="20"/>
      <x:c r="E132" s="20"/>
      <x:c r="F132" s="20"/>
      <x:c r="G132" s="20"/>
      <x:c r="H132" s="20"/>
      <x:c r="I132" s="20"/>
      <x:c r="J132" s="23"/>
      <x:c r="K132" s="20"/>
      <x:c r="L132" s="20"/>
      <x:c r="M132" s="20"/>
      <x:c r="N132" s="23"/>
      <x:c r="O132" s="23"/>
      <x:c r="P132" s="20"/>
      <x:c r="Q132" s="20"/>
      <x:c r="R132" s="20"/>
      <x:c r="S132" s="20"/>
      <x:c r="T132" s="23"/>
      <x:c r="U132" s="20" t="str">
        <x:f>IF(A132="","",IF(AND(O132&lt;&gt;"",O132&lt;TODAY()),"YES","NO"))</x:f>
      </x:c>
    </x:row>
    <x:row r="133">
      <x:c r="A133" s="20"/>
      <x:c r="B133" s="20"/>
      <x:c r="C133" s="20"/>
      <x:c r="D133" s="20"/>
      <x:c r="E133" s="20"/>
      <x:c r="F133" s="20"/>
      <x:c r="G133" s="20"/>
      <x:c r="H133" s="20"/>
      <x:c r="I133" s="20"/>
      <x:c r="J133" s="23"/>
      <x:c r="K133" s="20"/>
      <x:c r="L133" s="20"/>
      <x:c r="M133" s="20"/>
      <x:c r="N133" s="23"/>
      <x:c r="O133" s="23"/>
      <x:c r="P133" s="20"/>
      <x:c r="Q133" s="20"/>
      <x:c r="R133" s="20"/>
      <x:c r="S133" s="20"/>
      <x:c r="T133" s="23"/>
      <x:c r="U133" s="20" t="str">
        <x:f>IF(A133="","",IF(AND(O133&lt;&gt;"",O133&lt;TODAY()),"YES","NO"))</x:f>
      </x:c>
    </x:row>
    <x:row r="134">
      <x:c r="A134" s="20"/>
      <x:c r="B134" s="20"/>
      <x:c r="C134" s="20"/>
      <x:c r="D134" s="20"/>
      <x:c r="E134" s="20"/>
      <x:c r="F134" s="20"/>
      <x:c r="G134" s="20"/>
      <x:c r="H134" s="20"/>
      <x:c r="I134" s="20"/>
      <x:c r="J134" s="23"/>
      <x:c r="K134" s="20"/>
      <x:c r="L134" s="20"/>
      <x:c r="M134" s="20"/>
      <x:c r="N134" s="23"/>
      <x:c r="O134" s="23"/>
      <x:c r="P134" s="20"/>
      <x:c r="Q134" s="20"/>
      <x:c r="R134" s="20"/>
      <x:c r="S134" s="20"/>
      <x:c r="T134" s="23"/>
      <x:c r="U134" s="20" t="str">
        <x:f>IF(A134="","",IF(AND(O134&lt;&gt;"",O134&lt;TODAY()),"YES","NO"))</x:f>
      </x:c>
    </x:row>
    <x:row r="135">
      <x:c r="A135" s="20"/>
      <x:c r="B135" s="20"/>
      <x:c r="C135" s="20"/>
      <x:c r="D135" s="20"/>
      <x:c r="E135" s="20"/>
      <x:c r="F135" s="20"/>
      <x:c r="G135" s="20"/>
      <x:c r="H135" s="20"/>
      <x:c r="I135" s="20"/>
      <x:c r="J135" s="23"/>
      <x:c r="K135" s="20"/>
      <x:c r="L135" s="20"/>
      <x:c r="M135" s="20"/>
      <x:c r="N135" s="23"/>
      <x:c r="O135" s="23"/>
      <x:c r="P135" s="20"/>
      <x:c r="Q135" s="20"/>
      <x:c r="R135" s="20"/>
      <x:c r="S135" s="20"/>
      <x:c r="T135" s="23"/>
      <x:c r="U135" s="20" t="str">
        <x:f>IF(A135="","",IF(AND(O135&lt;&gt;"",O135&lt;TODAY()),"YES","NO"))</x:f>
      </x:c>
    </x:row>
    <x:row r="136">
      <x:c r="A136" s="20"/>
      <x:c r="B136" s="20"/>
      <x:c r="C136" s="20"/>
      <x:c r="D136" s="20"/>
      <x:c r="E136" s="20"/>
      <x:c r="F136" s="20"/>
      <x:c r="G136" s="20"/>
      <x:c r="H136" s="20"/>
      <x:c r="I136" s="20"/>
      <x:c r="J136" s="23"/>
      <x:c r="K136" s="20"/>
      <x:c r="L136" s="20"/>
      <x:c r="M136" s="20"/>
      <x:c r="N136" s="23"/>
      <x:c r="O136" s="23"/>
      <x:c r="P136" s="20"/>
      <x:c r="Q136" s="20"/>
      <x:c r="R136" s="20"/>
      <x:c r="S136" s="20"/>
      <x:c r="T136" s="23"/>
      <x:c r="U136" s="20" t="str">
        <x:f>IF(A136="","",IF(AND(O136&lt;&gt;"",O136&lt;TODAY()),"YES","NO"))</x:f>
      </x:c>
    </x:row>
    <x:row r="137">
      <x:c r="A137" s="20"/>
      <x:c r="B137" s="20"/>
      <x:c r="C137" s="20"/>
      <x:c r="D137" s="20"/>
      <x:c r="E137" s="20"/>
      <x:c r="F137" s="20"/>
      <x:c r="G137" s="20"/>
      <x:c r="H137" s="20"/>
      <x:c r="I137" s="20"/>
      <x:c r="J137" s="23"/>
      <x:c r="K137" s="20"/>
      <x:c r="L137" s="20"/>
      <x:c r="M137" s="20"/>
      <x:c r="N137" s="23"/>
      <x:c r="O137" s="23"/>
      <x:c r="P137" s="20"/>
      <x:c r="Q137" s="20"/>
      <x:c r="R137" s="20"/>
      <x:c r="S137" s="20"/>
      <x:c r="T137" s="23"/>
      <x:c r="U137" s="20" t="str">
        <x:f>IF(A137="","",IF(AND(O137&lt;&gt;"",O137&lt;TODAY()),"YES","NO"))</x:f>
      </x:c>
    </x:row>
    <x:row r="138">
      <x:c r="A138" s="20"/>
      <x:c r="B138" s="20"/>
      <x:c r="C138" s="20"/>
      <x:c r="D138" s="20"/>
      <x:c r="E138" s="20"/>
      <x:c r="F138" s="20"/>
      <x:c r="G138" s="20"/>
      <x:c r="H138" s="20"/>
      <x:c r="I138" s="20"/>
      <x:c r="J138" s="23"/>
      <x:c r="K138" s="20"/>
      <x:c r="L138" s="20"/>
      <x:c r="M138" s="20"/>
      <x:c r="N138" s="23"/>
      <x:c r="O138" s="23"/>
      <x:c r="P138" s="20"/>
      <x:c r="Q138" s="20"/>
      <x:c r="R138" s="20"/>
      <x:c r="S138" s="20"/>
      <x:c r="T138" s="23"/>
      <x:c r="U138" s="20" t="str">
        <x:f>IF(A138="","",IF(AND(O138&lt;&gt;"",O138&lt;TODAY()),"YES","NO"))</x:f>
      </x:c>
    </x:row>
    <x:row r="139">
      <x:c r="A139" s="20"/>
      <x:c r="B139" s="20"/>
      <x:c r="C139" s="20"/>
      <x:c r="D139" s="20"/>
      <x:c r="E139" s="20"/>
      <x:c r="F139" s="20"/>
      <x:c r="G139" s="20"/>
      <x:c r="H139" s="20"/>
      <x:c r="I139" s="20"/>
      <x:c r="J139" s="23"/>
      <x:c r="K139" s="20"/>
      <x:c r="L139" s="20"/>
      <x:c r="M139" s="20"/>
      <x:c r="N139" s="23"/>
      <x:c r="O139" s="23"/>
      <x:c r="P139" s="20"/>
      <x:c r="Q139" s="20"/>
      <x:c r="R139" s="20"/>
      <x:c r="S139" s="20"/>
      <x:c r="T139" s="23"/>
      <x:c r="U139" s="20" t="str">
        <x:f>IF(A139="","",IF(AND(O139&lt;&gt;"",O139&lt;TODAY()),"YES","NO"))</x:f>
      </x:c>
    </x:row>
    <x:row r="140">
      <x:c r="A140" s="20"/>
      <x:c r="B140" s="20"/>
      <x:c r="C140" s="20"/>
      <x:c r="D140" s="20"/>
      <x:c r="E140" s="20"/>
      <x:c r="F140" s="20"/>
      <x:c r="G140" s="20"/>
      <x:c r="H140" s="20"/>
      <x:c r="I140" s="20"/>
      <x:c r="J140" s="23"/>
      <x:c r="K140" s="20"/>
      <x:c r="L140" s="20"/>
      <x:c r="M140" s="20"/>
      <x:c r="N140" s="23"/>
      <x:c r="O140" s="23"/>
      <x:c r="P140" s="20"/>
      <x:c r="Q140" s="20"/>
      <x:c r="R140" s="20"/>
      <x:c r="S140" s="20"/>
      <x:c r="T140" s="23"/>
      <x:c r="U140" s="20" t="str">
        <x:f>IF(A140="","",IF(AND(O140&lt;&gt;"",O140&lt;TODAY()),"YES","NO"))</x:f>
      </x:c>
    </x:row>
    <x:row r="141">
      <x:c r="A141" s="20"/>
      <x:c r="B141" s="20"/>
      <x:c r="C141" s="20"/>
      <x:c r="D141" s="20"/>
      <x:c r="E141" s="20"/>
      <x:c r="F141" s="20"/>
      <x:c r="G141" s="20"/>
      <x:c r="H141" s="20"/>
      <x:c r="I141" s="20"/>
      <x:c r="J141" s="23"/>
      <x:c r="K141" s="20"/>
      <x:c r="L141" s="20"/>
      <x:c r="M141" s="20"/>
      <x:c r="N141" s="23"/>
      <x:c r="O141" s="23"/>
      <x:c r="P141" s="20"/>
      <x:c r="Q141" s="20"/>
      <x:c r="R141" s="20"/>
      <x:c r="S141" s="20"/>
      <x:c r="T141" s="23"/>
      <x:c r="U141" s="20" t="str">
        <x:f>IF(A141="","",IF(AND(O141&lt;&gt;"",O141&lt;TODAY()),"YES","NO"))</x:f>
      </x:c>
    </x:row>
    <x:row r="142">
      <x:c r="A142" s="20"/>
      <x:c r="B142" s="20"/>
      <x:c r="C142" s="20"/>
      <x:c r="D142" s="20"/>
      <x:c r="E142" s="20"/>
      <x:c r="F142" s="20"/>
      <x:c r="G142" s="20"/>
      <x:c r="H142" s="20"/>
      <x:c r="I142" s="20"/>
      <x:c r="J142" s="23"/>
      <x:c r="K142" s="20"/>
      <x:c r="L142" s="20"/>
      <x:c r="M142" s="20"/>
      <x:c r="N142" s="23"/>
      <x:c r="O142" s="23"/>
      <x:c r="P142" s="20"/>
      <x:c r="Q142" s="20"/>
      <x:c r="R142" s="20"/>
      <x:c r="S142" s="20"/>
      <x:c r="T142" s="23"/>
      <x:c r="U142" s="20" t="str">
        <x:f>IF(A142="","",IF(AND(O142&lt;&gt;"",O142&lt;TODAY()),"YES","NO"))</x:f>
      </x:c>
    </x:row>
    <x:row r="143">
      <x:c r="A143" s="20"/>
      <x:c r="B143" s="20"/>
      <x:c r="C143" s="20"/>
      <x:c r="D143" s="20"/>
      <x:c r="E143" s="20"/>
      <x:c r="F143" s="20"/>
      <x:c r="G143" s="20"/>
      <x:c r="H143" s="20"/>
      <x:c r="I143" s="20"/>
      <x:c r="J143" s="23"/>
      <x:c r="K143" s="20"/>
      <x:c r="L143" s="20"/>
      <x:c r="M143" s="20"/>
      <x:c r="N143" s="23"/>
      <x:c r="O143" s="23"/>
      <x:c r="P143" s="20"/>
      <x:c r="Q143" s="20"/>
      <x:c r="R143" s="20"/>
      <x:c r="S143" s="20"/>
      <x:c r="T143" s="23"/>
      <x:c r="U143" s="20" t="str">
        <x:f>IF(A143="","",IF(AND(O143&lt;&gt;"",O143&lt;TODAY()),"YES","NO"))</x:f>
      </x:c>
    </x:row>
    <x:row r="144">
      <x:c r="A144" s="20"/>
      <x:c r="B144" s="20"/>
      <x:c r="C144" s="20"/>
      <x:c r="D144" s="20"/>
      <x:c r="E144" s="20"/>
      <x:c r="F144" s="20"/>
      <x:c r="G144" s="20"/>
      <x:c r="H144" s="20"/>
      <x:c r="I144" s="20"/>
      <x:c r="J144" s="23"/>
      <x:c r="K144" s="20"/>
      <x:c r="L144" s="20"/>
      <x:c r="M144" s="20"/>
      <x:c r="N144" s="23"/>
      <x:c r="O144" s="23"/>
      <x:c r="P144" s="20"/>
      <x:c r="Q144" s="20"/>
      <x:c r="R144" s="20"/>
      <x:c r="S144" s="20"/>
      <x:c r="T144" s="23"/>
      <x:c r="U144" s="20" t="str">
        <x:f>IF(A144="","",IF(AND(O144&lt;&gt;"",O144&lt;TODAY()),"YES","NO"))</x:f>
      </x:c>
    </x:row>
    <x:row r="145">
      <x:c r="A145" s="20"/>
      <x:c r="B145" s="20"/>
      <x:c r="C145" s="20"/>
      <x:c r="D145" s="20"/>
      <x:c r="E145" s="20"/>
      <x:c r="F145" s="20"/>
      <x:c r="G145" s="20"/>
      <x:c r="H145" s="20"/>
      <x:c r="I145" s="20"/>
      <x:c r="J145" s="23"/>
      <x:c r="K145" s="20"/>
      <x:c r="L145" s="20"/>
      <x:c r="M145" s="20"/>
      <x:c r="N145" s="23"/>
      <x:c r="O145" s="23"/>
      <x:c r="P145" s="20"/>
      <x:c r="Q145" s="20"/>
      <x:c r="R145" s="20"/>
      <x:c r="S145" s="20"/>
      <x:c r="T145" s="23"/>
      <x:c r="U145" s="20" t="str">
        <x:f>IF(A145="","",IF(AND(O145&lt;&gt;"",O145&lt;TODAY()),"YES","NO"))</x:f>
      </x:c>
    </x:row>
    <x:row r="146">
      <x:c r="A146" s="20"/>
      <x:c r="B146" s="20"/>
      <x:c r="C146" s="20"/>
      <x:c r="D146" s="20"/>
      <x:c r="E146" s="20"/>
      <x:c r="F146" s="20"/>
      <x:c r="G146" s="20"/>
      <x:c r="H146" s="20"/>
      <x:c r="I146" s="20"/>
      <x:c r="J146" s="23"/>
      <x:c r="K146" s="20"/>
      <x:c r="L146" s="20"/>
      <x:c r="M146" s="20"/>
      <x:c r="N146" s="23"/>
      <x:c r="O146" s="23"/>
      <x:c r="P146" s="20"/>
      <x:c r="Q146" s="20"/>
      <x:c r="R146" s="20"/>
      <x:c r="S146" s="20"/>
      <x:c r="T146" s="23"/>
      <x:c r="U146" s="20" t="str">
        <x:f>IF(A146="","",IF(AND(O146&lt;&gt;"",O146&lt;TODAY()),"YES","NO"))</x:f>
      </x:c>
    </x:row>
    <x:row r="147">
      <x:c r="A147" s="20"/>
      <x:c r="B147" s="20"/>
      <x:c r="C147" s="20"/>
      <x:c r="D147" s="20"/>
      <x:c r="E147" s="20"/>
      <x:c r="F147" s="20"/>
      <x:c r="G147" s="20"/>
      <x:c r="H147" s="20"/>
      <x:c r="I147" s="20"/>
      <x:c r="J147" s="23"/>
      <x:c r="K147" s="20"/>
      <x:c r="L147" s="20"/>
      <x:c r="M147" s="20"/>
      <x:c r="N147" s="23"/>
      <x:c r="O147" s="23"/>
      <x:c r="P147" s="20"/>
      <x:c r="Q147" s="20"/>
      <x:c r="R147" s="20"/>
      <x:c r="S147" s="20"/>
      <x:c r="T147" s="23"/>
      <x:c r="U147" s="20" t="str">
        <x:f>IF(A147="","",IF(AND(O147&lt;&gt;"",O147&lt;TODAY()),"YES","NO"))</x:f>
      </x:c>
    </x:row>
    <x:row r="148">
      <x:c r="A148" s="20"/>
      <x:c r="B148" s="20"/>
      <x:c r="C148" s="20"/>
      <x:c r="D148" s="20"/>
      <x:c r="E148" s="20"/>
      <x:c r="F148" s="20"/>
      <x:c r="G148" s="20"/>
      <x:c r="H148" s="20"/>
      <x:c r="I148" s="20"/>
      <x:c r="J148" s="23"/>
      <x:c r="K148" s="20"/>
      <x:c r="L148" s="20"/>
      <x:c r="M148" s="20"/>
      <x:c r="N148" s="23"/>
      <x:c r="O148" s="23"/>
      <x:c r="P148" s="20"/>
      <x:c r="Q148" s="20"/>
      <x:c r="R148" s="20"/>
      <x:c r="S148" s="20"/>
      <x:c r="T148" s="23"/>
      <x:c r="U148" s="20" t="str">
        <x:f>IF(A148="","",IF(AND(O148&lt;&gt;"",O148&lt;TODAY()),"YES","NO"))</x:f>
      </x:c>
    </x:row>
    <x:row r="149">
      <x:c r="A149" s="20"/>
      <x:c r="B149" s="20"/>
      <x:c r="C149" s="20"/>
      <x:c r="D149" s="20"/>
      <x:c r="E149" s="20"/>
      <x:c r="F149" s="20"/>
      <x:c r="G149" s="20"/>
      <x:c r="H149" s="20"/>
      <x:c r="I149" s="20"/>
      <x:c r="J149" s="23"/>
      <x:c r="K149" s="20"/>
      <x:c r="L149" s="20"/>
      <x:c r="M149" s="20"/>
      <x:c r="N149" s="23"/>
      <x:c r="O149" s="23"/>
      <x:c r="P149" s="20"/>
      <x:c r="Q149" s="20"/>
      <x:c r="R149" s="20"/>
      <x:c r="S149" s="20"/>
      <x:c r="T149" s="23"/>
      <x:c r="U149" s="20" t="str">
        <x:f>IF(A149="","",IF(AND(O149&lt;&gt;"",O149&lt;TODAY()),"YES","NO"))</x:f>
      </x:c>
    </x:row>
    <x:row r="150">
      <x:c r="A150" s="20"/>
      <x:c r="B150" s="20"/>
      <x:c r="C150" s="20"/>
      <x:c r="D150" s="20"/>
      <x:c r="E150" s="20"/>
      <x:c r="F150" s="20"/>
      <x:c r="G150" s="20"/>
      <x:c r="H150" s="20"/>
      <x:c r="I150" s="20"/>
      <x:c r="J150" s="23"/>
      <x:c r="K150" s="20"/>
      <x:c r="L150" s="20"/>
      <x:c r="M150" s="20"/>
      <x:c r="N150" s="23"/>
      <x:c r="O150" s="23"/>
      <x:c r="P150" s="20"/>
      <x:c r="Q150" s="20"/>
      <x:c r="R150" s="20"/>
      <x:c r="S150" s="20"/>
      <x:c r="T150" s="23"/>
      <x:c r="U150" s="20" t="str">
        <x:f>IF(A150="","",IF(AND(O150&lt;&gt;"",O150&lt;TODAY()),"YES","NO"))</x:f>
      </x:c>
    </x:row>
    <x:row r="151">
      <x:c r="A151" s="20"/>
      <x:c r="B151" s="20"/>
      <x:c r="C151" s="20"/>
      <x:c r="D151" s="20"/>
      <x:c r="E151" s="20"/>
      <x:c r="F151" s="20"/>
      <x:c r="G151" s="20"/>
      <x:c r="H151" s="20"/>
      <x:c r="I151" s="20"/>
      <x:c r="J151" s="23"/>
      <x:c r="K151" s="20"/>
      <x:c r="L151" s="20"/>
      <x:c r="M151" s="20"/>
      <x:c r="N151" s="23"/>
      <x:c r="O151" s="23"/>
      <x:c r="P151" s="20"/>
      <x:c r="Q151" s="20"/>
      <x:c r="R151" s="20"/>
      <x:c r="S151" s="20"/>
      <x:c r="T151" s="23"/>
      <x:c r="U151" s="20" t="str">
        <x:f>IF(A151="","",IF(AND(O151&lt;&gt;"",O151&lt;TODAY()),"YES","NO"))</x:f>
      </x:c>
    </x:row>
    <x:row r="152">
      <x:c r="A152" s="20"/>
      <x:c r="B152" s="20"/>
      <x:c r="C152" s="20"/>
      <x:c r="D152" s="20"/>
      <x:c r="E152" s="20"/>
      <x:c r="F152" s="20"/>
      <x:c r="G152" s="20"/>
      <x:c r="H152" s="20"/>
      <x:c r="I152" s="20"/>
      <x:c r="J152" s="23"/>
      <x:c r="K152" s="20"/>
      <x:c r="L152" s="20"/>
      <x:c r="M152" s="20"/>
      <x:c r="N152" s="23"/>
      <x:c r="O152" s="23"/>
      <x:c r="P152" s="20"/>
      <x:c r="Q152" s="20"/>
      <x:c r="R152" s="20"/>
      <x:c r="S152" s="20"/>
      <x:c r="T152" s="23"/>
      <x:c r="U152" s="20" t="str">
        <x:f>IF(A152="","",IF(AND(O152&lt;&gt;"",O152&lt;TODAY()),"YES","NO"))</x:f>
      </x:c>
    </x:row>
    <x:row r="153">
      <x:c r="A153" s="20"/>
      <x:c r="B153" s="20"/>
      <x:c r="C153" s="20"/>
      <x:c r="D153" s="20"/>
      <x:c r="E153" s="20"/>
      <x:c r="F153" s="20"/>
      <x:c r="G153" s="20"/>
      <x:c r="H153" s="20"/>
      <x:c r="I153" s="20"/>
      <x:c r="J153" s="23"/>
      <x:c r="K153" s="20"/>
      <x:c r="L153" s="20"/>
      <x:c r="M153" s="20"/>
      <x:c r="N153" s="23"/>
      <x:c r="O153" s="23"/>
      <x:c r="P153" s="20"/>
      <x:c r="Q153" s="20"/>
      <x:c r="R153" s="20"/>
      <x:c r="S153" s="20"/>
      <x:c r="T153" s="23"/>
      <x:c r="U153" s="20" t="str">
        <x:f>IF(A153="","",IF(AND(O153&lt;&gt;"",O153&lt;TODAY()),"YES","NO"))</x:f>
      </x:c>
    </x:row>
    <x:row r="154">
      <x:c r="A154" s="20"/>
      <x:c r="B154" s="20"/>
      <x:c r="C154" s="20"/>
      <x:c r="D154" s="20"/>
      <x:c r="E154" s="20"/>
      <x:c r="F154" s="20"/>
      <x:c r="G154" s="20"/>
      <x:c r="H154" s="20"/>
      <x:c r="I154" s="20"/>
      <x:c r="J154" s="23"/>
      <x:c r="K154" s="20"/>
      <x:c r="L154" s="20"/>
      <x:c r="M154" s="20"/>
      <x:c r="N154" s="23"/>
      <x:c r="O154" s="23"/>
      <x:c r="P154" s="20"/>
      <x:c r="Q154" s="20"/>
      <x:c r="R154" s="20"/>
      <x:c r="S154" s="20"/>
      <x:c r="T154" s="23"/>
      <x:c r="U154" s="20" t="str">
        <x:f>IF(A154="","",IF(AND(O154&lt;&gt;"",O154&lt;TODAY()),"YES","NO"))</x:f>
      </x:c>
    </x:row>
    <x:row r="155">
      <x:c r="A155" s="20"/>
      <x:c r="B155" s="20"/>
      <x:c r="C155" s="20"/>
      <x:c r="D155" s="20"/>
      <x:c r="E155" s="20"/>
      <x:c r="F155" s="20"/>
      <x:c r="G155" s="20"/>
      <x:c r="H155" s="20"/>
      <x:c r="I155" s="20"/>
      <x:c r="J155" s="23"/>
      <x:c r="K155" s="20"/>
      <x:c r="L155" s="20"/>
      <x:c r="M155" s="20"/>
      <x:c r="N155" s="23"/>
      <x:c r="O155" s="23"/>
      <x:c r="P155" s="20"/>
      <x:c r="Q155" s="20"/>
      <x:c r="R155" s="20"/>
      <x:c r="S155" s="20"/>
      <x:c r="T155" s="23"/>
      <x:c r="U155" s="20" t="str">
        <x:f>IF(A155="","",IF(AND(O155&lt;&gt;"",O155&lt;TODAY()),"YES","NO"))</x:f>
      </x:c>
    </x:row>
    <x:row r="156">
      <x:c r="A156" s="20"/>
      <x:c r="B156" s="20"/>
      <x:c r="C156" s="20"/>
      <x:c r="D156" s="20"/>
      <x:c r="E156" s="20"/>
      <x:c r="F156" s="20"/>
      <x:c r="G156" s="20"/>
      <x:c r="H156" s="20"/>
      <x:c r="I156" s="20"/>
      <x:c r="J156" s="23"/>
      <x:c r="K156" s="20"/>
      <x:c r="L156" s="20"/>
      <x:c r="M156" s="20"/>
      <x:c r="N156" s="23"/>
      <x:c r="O156" s="23"/>
      <x:c r="P156" s="20"/>
      <x:c r="Q156" s="20"/>
      <x:c r="R156" s="20"/>
      <x:c r="S156" s="20"/>
      <x:c r="T156" s="23"/>
      <x:c r="U156" s="20" t="str">
        <x:f>IF(A156="","",IF(AND(O156&lt;&gt;"",O156&lt;TODAY()),"YES","NO"))</x:f>
      </x:c>
    </x:row>
    <x:row r="157">
      <x:c r="A157" s="20"/>
      <x:c r="B157" s="20"/>
      <x:c r="C157" s="20"/>
      <x:c r="D157" s="20"/>
      <x:c r="E157" s="20"/>
      <x:c r="F157" s="20"/>
      <x:c r="G157" s="20"/>
      <x:c r="H157" s="20"/>
      <x:c r="I157" s="20"/>
      <x:c r="J157" s="23"/>
      <x:c r="K157" s="20"/>
      <x:c r="L157" s="20"/>
      <x:c r="M157" s="20"/>
      <x:c r="N157" s="23"/>
      <x:c r="O157" s="23"/>
      <x:c r="P157" s="20"/>
      <x:c r="Q157" s="20"/>
      <x:c r="R157" s="20"/>
      <x:c r="S157" s="20"/>
      <x:c r="T157" s="23"/>
      <x:c r="U157" s="20" t="str">
        <x:f>IF(A157="","",IF(AND(O157&lt;&gt;"",O157&lt;TODAY()),"YES","NO"))</x:f>
      </x:c>
    </x:row>
    <x:row r="158">
      <x:c r="A158" s="20"/>
      <x:c r="B158" s="20"/>
      <x:c r="C158" s="20"/>
      <x:c r="D158" s="20"/>
      <x:c r="E158" s="20"/>
      <x:c r="F158" s="20"/>
      <x:c r="G158" s="20"/>
      <x:c r="H158" s="20"/>
      <x:c r="I158" s="20"/>
      <x:c r="J158" s="23"/>
      <x:c r="K158" s="20"/>
      <x:c r="L158" s="20"/>
      <x:c r="M158" s="20"/>
      <x:c r="N158" s="23"/>
      <x:c r="O158" s="23"/>
      <x:c r="P158" s="20"/>
      <x:c r="Q158" s="20"/>
      <x:c r="R158" s="20"/>
      <x:c r="S158" s="20"/>
      <x:c r="T158" s="23"/>
      <x:c r="U158" s="20" t="str">
        <x:f>IF(A158="","",IF(AND(O158&lt;&gt;"",O158&lt;TODAY()),"YES","NO"))</x:f>
      </x:c>
    </x:row>
    <x:row r="159">
      <x:c r="A159" s="20"/>
      <x:c r="B159" s="20"/>
      <x:c r="C159" s="20"/>
      <x:c r="D159" s="20"/>
      <x:c r="E159" s="20"/>
      <x:c r="F159" s="20"/>
      <x:c r="G159" s="20"/>
      <x:c r="H159" s="20"/>
      <x:c r="I159" s="20"/>
      <x:c r="J159" s="23"/>
      <x:c r="K159" s="20"/>
      <x:c r="L159" s="20"/>
      <x:c r="M159" s="20"/>
      <x:c r="N159" s="23"/>
      <x:c r="O159" s="23"/>
      <x:c r="P159" s="20"/>
      <x:c r="Q159" s="20"/>
      <x:c r="R159" s="20"/>
      <x:c r="S159" s="20"/>
      <x:c r="T159" s="23"/>
      <x:c r="U159" s="20" t="str">
        <x:f>IF(A159="","",IF(AND(O159&lt;&gt;"",O159&lt;TODAY()),"YES","NO"))</x:f>
      </x:c>
    </x:row>
    <x:row r="160">
      <x:c r="A160" s="20"/>
      <x:c r="B160" s="20"/>
      <x:c r="C160" s="20"/>
      <x:c r="D160" s="20"/>
      <x:c r="E160" s="20"/>
      <x:c r="F160" s="20"/>
      <x:c r="G160" s="20"/>
      <x:c r="H160" s="20"/>
      <x:c r="I160" s="20"/>
      <x:c r="J160" s="23"/>
      <x:c r="K160" s="20"/>
      <x:c r="L160" s="20"/>
      <x:c r="M160" s="20"/>
      <x:c r="N160" s="23"/>
      <x:c r="O160" s="23"/>
      <x:c r="P160" s="20"/>
      <x:c r="Q160" s="20"/>
      <x:c r="R160" s="20"/>
      <x:c r="S160" s="20"/>
      <x:c r="T160" s="23"/>
      <x:c r="U160" s="20" t="str">
        <x:f>IF(A160="","",IF(AND(O160&lt;&gt;"",O160&lt;TODAY()),"YES","NO"))</x:f>
      </x:c>
    </x:row>
    <x:row r="161">
      <x:c r="A161" s="20"/>
      <x:c r="B161" s="20"/>
      <x:c r="C161" s="20"/>
      <x:c r="D161" s="20"/>
      <x:c r="E161" s="20"/>
      <x:c r="F161" s="20"/>
      <x:c r="G161" s="20"/>
      <x:c r="H161" s="20"/>
      <x:c r="I161" s="20"/>
      <x:c r="J161" s="23"/>
      <x:c r="K161" s="20"/>
      <x:c r="L161" s="20"/>
      <x:c r="M161" s="20"/>
      <x:c r="N161" s="23"/>
      <x:c r="O161" s="23"/>
      <x:c r="P161" s="20"/>
      <x:c r="Q161" s="20"/>
      <x:c r="R161" s="20"/>
      <x:c r="S161" s="20"/>
      <x:c r="T161" s="23"/>
      <x:c r="U161" s="20" t="str">
        <x:f>IF(A161="","",IF(AND(O161&lt;&gt;"",O161&lt;TODAY()),"YES","NO"))</x:f>
      </x:c>
    </x:row>
    <x:row r="162">
      <x:c r="A162" s="20"/>
      <x:c r="B162" s="20"/>
      <x:c r="C162" s="20"/>
      <x:c r="D162" s="20"/>
      <x:c r="E162" s="20"/>
      <x:c r="F162" s="20"/>
      <x:c r="G162" s="20"/>
      <x:c r="H162" s="20"/>
      <x:c r="I162" s="20"/>
      <x:c r="J162" s="23"/>
      <x:c r="K162" s="20"/>
      <x:c r="L162" s="20"/>
      <x:c r="M162" s="20"/>
      <x:c r="N162" s="23"/>
      <x:c r="O162" s="23"/>
      <x:c r="P162" s="20"/>
      <x:c r="Q162" s="20"/>
      <x:c r="R162" s="20"/>
      <x:c r="S162" s="20"/>
      <x:c r="T162" s="23"/>
      <x:c r="U162" s="20" t="str">
        <x:f>IF(A162="","",IF(AND(O162&lt;&gt;"",O162&lt;TODAY()),"YES","NO"))</x:f>
      </x:c>
    </x:row>
    <x:row r="163">
      <x:c r="A163" s="20"/>
      <x:c r="B163" s="20"/>
      <x:c r="C163" s="20"/>
      <x:c r="D163" s="20"/>
      <x:c r="E163" s="20"/>
      <x:c r="F163" s="20"/>
      <x:c r="G163" s="20"/>
      <x:c r="H163" s="20"/>
      <x:c r="I163" s="20"/>
      <x:c r="J163" s="23"/>
      <x:c r="K163" s="20"/>
      <x:c r="L163" s="20"/>
      <x:c r="M163" s="20"/>
      <x:c r="N163" s="23"/>
      <x:c r="O163" s="23"/>
      <x:c r="P163" s="20"/>
      <x:c r="Q163" s="20"/>
      <x:c r="R163" s="20"/>
      <x:c r="S163" s="20"/>
      <x:c r="T163" s="23"/>
      <x:c r="U163" s="20" t="str">
        <x:f>IF(A163="","",IF(AND(O163&lt;&gt;"",O163&lt;TODAY()),"YES","NO"))</x:f>
      </x:c>
    </x:row>
    <x:row r="164">
      <x:c r="A164" s="20"/>
      <x:c r="B164" s="20"/>
      <x:c r="C164" s="20"/>
      <x:c r="D164" s="20"/>
      <x:c r="E164" s="20"/>
      <x:c r="F164" s="20"/>
      <x:c r="G164" s="20"/>
      <x:c r="H164" s="20"/>
      <x:c r="I164" s="20"/>
      <x:c r="J164" s="23"/>
      <x:c r="K164" s="20"/>
      <x:c r="L164" s="20"/>
      <x:c r="M164" s="20"/>
      <x:c r="N164" s="23"/>
      <x:c r="O164" s="23"/>
      <x:c r="P164" s="20"/>
      <x:c r="Q164" s="20"/>
      <x:c r="R164" s="20"/>
      <x:c r="S164" s="20"/>
      <x:c r="T164" s="23"/>
      <x:c r="U164" s="20" t="str">
        <x:f>IF(A164="","",IF(AND(O164&lt;&gt;"",O164&lt;TODAY()),"YES","NO"))</x:f>
      </x:c>
    </x:row>
    <x:row r="165">
      <x:c r="A165" s="20"/>
      <x:c r="B165" s="20"/>
      <x:c r="C165" s="20"/>
      <x:c r="D165" s="20"/>
      <x:c r="E165" s="20"/>
      <x:c r="F165" s="20"/>
      <x:c r="G165" s="20"/>
      <x:c r="H165" s="20"/>
      <x:c r="I165" s="20"/>
      <x:c r="J165" s="23"/>
      <x:c r="K165" s="20"/>
      <x:c r="L165" s="20"/>
      <x:c r="M165" s="20"/>
      <x:c r="N165" s="23"/>
      <x:c r="O165" s="23"/>
      <x:c r="P165" s="20"/>
      <x:c r="Q165" s="20"/>
      <x:c r="R165" s="20"/>
      <x:c r="S165" s="20"/>
      <x:c r="T165" s="23"/>
      <x:c r="U165" s="20" t="str">
        <x:f>IF(A165="","",IF(AND(O165&lt;&gt;"",O165&lt;TODAY()),"YES","NO"))</x:f>
      </x:c>
    </x:row>
    <x:row r="166">
      <x:c r="A166" s="20"/>
      <x:c r="B166" s="20"/>
      <x:c r="C166" s="20"/>
      <x:c r="D166" s="20"/>
      <x:c r="E166" s="20"/>
      <x:c r="F166" s="20"/>
      <x:c r="G166" s="20"/>
      <x:c r="H166" s="20"/>
      <x:c r="I166" s="20"/>
      <x:c r="J166" s="23"/>
      <x:c r="K166" s="20"/>
      <x:c r="L166" s="20"/>
      <x:c r="M166" s="20"/>
      <x:c r="N166" s="23"/>
      <x:c r="O166" s="23"/>
      <x:c r="P166" s="20"/>
      <x:c r="Q166" s="20"/>
      <x:c r="R166" s="20"/>
      <x:c r="S166" s="20"/>
      <x:c r="T166" s="23"/>
      <x:c r="U166" s="20" t="str">
        <x:f>IF(A166="","",IF(AND(O166&lt;&gt;"",O166&lt;TODAY()),"YES","NO"))</x:f>
      </x:c>
    </x:row>
    <x:row r="167">
      <x:c r="A167" s="20"/>
      <x:c r="B167" s="20"/>
      <x:c r="C167" s="20"/>
      <x:c r="D167" s="20"/>
      <x:c r="E167" s="20"/>
      <x:c r="F167" s="20"/>
      <x:c r="G167" s="20"/>
      <x:c r="H167" s="20"/>
      <x:c r="I167" s="20"/>
      <x:c r="J167" s="23"/>
      <x:c r="K167" s="20"/>
      <x:c r="L167" s="20"/>
      <x:c r="M167" s="20"/>
      <x:c r="N167" s="23"/>
      <x:c r="O167" s="23"/>
      <x:c r="P167" s="20"/>
      <x:c r="Q167" s="20"/>
      <x:c r="R167" s="20"/>
      <x:c r="S167" s="20"/>
      <x:c r="T167" s="23"/>
      <x:c r="U167" s="20" t="str">
        <x:f>IF(A167="","",IF(AND(O167&lt;&gt;"",O167&lt;TODAY()),"YES","NO"))</x:f>
      </x:c>
    </x:row>
    <x:row r="168">
      <x:c r="A168" s="20"/>
      <x:c r="B168" s="20"/>
      <x:c r="C168" s="20"/>
      <x:c r="D168" s="20"/>
      <x:c r="E168" s="20"/>
      <x:c r="F168" s="20"/>
      <x:c r="G168" s="20"/>
      <x:c r="H168" s="20"/>
      <x:c r="I168" s="20"/>
      <x:c r="J168" s="23"/>
      <x:c r="K168" s="20"/>
      <x:c r="L168" s="20"/>
      <x:c r="M168" s="20"/>
      <x:c r="N168" s="23"/>
      <x:c r="O168" s="23"/>
      <x:c r="P168" s="20"/>
      <x:c r="Q168" s="20"/>
      <x:c r="R168" s="20"/>
      <x:c r="S168" s="20"/>
      <x:c r="T168" s="23"/>
      <x:c r="U168" s="20" t="str">
        <x:f>IF(A168="","",IF(AND(O168&lt;&gt;"",O168&lt;TODAY()),"YES","NO"))</x:f>
      </x:c>
    </x:row>
    <x:row r="169">
      <x:c r="A169" s="20"/>
      <x:c r="B169" s="20"/>
      <x:c r="C169" s="20"/>
      <x:c r="D169" s="20"/>
      <x:c r="E169" s="20"/>
      <x:c r="F169" s="20"/>
      <x:c r="G169" s="20"/>
      <x:c r="H169" s="20"/>
      <x:c r="I169" s="20"/>
      <x:c r="J169" s="23"/>
      <x:c r="K169" s="20"/>
      <x:c r="L169" s="20"/>
      <x:c r="M169" s="20"/>
      <x:c r="N169" s="23"/>
      <x:c r="O169" s="23"/>
      <x:c r="P169" s="20"/>
      <x:c r="Q169" s="20"/>
      <x:c r="R169" s="20"/>
      <x:c r="S169" s="20"/>
      <x:c r="T169" s="23"/>
      <x:c r="U169" s="20" t="str">
        <x:f>IF(A169="","",IF(AND(O169&lt;&gt;"",O169&lt;TODAY()),"YES","NO"))</x:f>
      </x:c>
    </x:row>
    <x:row r="170">
      <x:c r="A170" s="20"/>
      <x:c r="B170" s="20"/>
      <x:c r="C170" s="20"/>
      <x:c r="D170" s="20"/>
      <x:c r="E170" s="20"/>
      <x:c r="F170" s="20"/>
      <x:c r="G170" s="20"/>
      <x:c r="H170" s="20"/>
      <x:c r="I170" s="20"/>
      <x:c r="J170" s="23"/>
      <x:c r="K170" s="20"/>
      <x:c r="L170" s="20"/>
      <x:c r="M170" s="20"/>
      <x:c r="N170" s="23"/>
      <x:c r="O170" s="23"/>
      <x:c r="P170" s="20"/>
      <x:c r="Q170" s="20"/>
      <x:c r="R170" s="20"/>
      <x:c r="S170" s="20"/>
      <x:c r="T170" s="23"/>
      <x:c r="U170" s="20" t="str">
        <x:f>IF(A170="","",IF(AND(O170&lt;&gt;"",O170&lt;TODAY()),"YES","NO"))</x:f>
      </x:c>
    </x:row>
    <x:row r="171">
      <x:c r="A171" s="20"/>
      <x:c r="B171" s="20"/>
      <x:c r="C171" s="20"/>
      <x:c r="D171" s="20"/>
      <x:c r="E171" s="20"/>
      <x:c r="F171" s="20"/>
      <x:c r="G171" s="20"/>
      <x:c r="H171" s="20"/>
      <x:c r="I171" s="20"/>
      <x:c r="J171" s="23"/>
      <x:c r="K171" s="20"/>
      <x:c r="L171" s="20"/>
      <x:c r="M171" s="20"/>
      <x:c r="N171" s="23"/>
      <x:c r="O171" s="23"/>
      <x:c r="P171" s="20"/>
      <x:c r="Q171" s="20"/>
      <x:c r="R171" s="20"/>
      <x:c r="S171" s="20"/>
      <x:c r="T171" s="23"/>
      <x:c r="U171" s="20" t="str">
        <x:f>IF(A171="","",IF(AND(O171&lt;&gt;"",O171&lt;TODAY()),"YES","NO"))</x:f>
      </x:c>
    </x:row>
    <x:row r="172">
      <x:c r="A172" s="20"/>
      <x:c r="B172" s="20"/>
      <x:c r="C172" s="20"/>
      <x:c r="D172" s="20"/>
      <x:c r="E172" s="20"/>
      <x:c r="F172" s="20"/>
      <x:c r="G172" s="20"/>
      <x:c r="H172" s="20"/>
      <x:c r="I172" s="20"/>
      <x:c r="J172" s="23"/>
      <x:c r="K172" s="20"/>
      <x:c r="L172" s="20"/>
      <x:c r="M172" s="20"/>
      <x:c r="N172" s="23"/>
      <x:c r="O172" s="23"/>
      <x:c r="P172" s="20"/>
      <x:c r="Q172" s="20"/>
      <x:c r="R172" s="20"/>
      <x:c r="S172" s="20"/>
      <x:c r="T172" s="23"/>
      <x:c r="U172" s="20" t="str">
        <x:f>IF(A172="","",IF(AND(O172&lt;&gt;"",O172&lt;TODAY()),"YES","NO"))</x:f>
      </x:c>
    </x:row>
    <x:row r="173">
      <x:c r="A173" s="20"/>
      <x:c r="B173" s="20"/>
      <x:c r="C173" s="20"/>
      <x:c r="D173" s="20"/>
      <x:c r="E173" s="20"/>
      <x:c r="F173" s="20"/>
      <x:c r="G173" s="20"/>
      <x:c r="H173" s="20"/>
      <x:c r="I173" s="20"/>
      <x:c r="J173" s="23"/>
      <x:c r="K173" s="20"/>
      <x:c r="L173" s="20"/>
      <x:c r="M173" s="20"/>
      <x:c r="N173" s="23"/>
      <x:c r="O173" s="23"/>
      <x:c r="P173" s="20"/>
      <x:c r="Q173" s="20"/>
      <x:c r="R173" s="20"/>
      <x:c r="S173" s="20"/>
      <x:c r="T173" s="23"/>
      <x:c r="U173" s="20" t="str">
        <x:f>IF(A173="","",IF(AND(O173&lt;&gt;"",O173&lt;TODAY()),"YES","NO"))</x:f>
      </x:c>
    </x:row>
    <x:row r="174">
      <x:c r="A174" s="20"/>
      <x:c r="B174" s="20"/>
      <x:c r="C174" s="20"/>
      <x:c r="D174" s="20"/>
      <x:c r="E174" s="20"/>
      <x:c r="F174" s="20"/>
      <x:c r="G174" s="20"/>
      <x:c r="H174" s="20"/>
      <x:c r="I174" s="20"/>
      <x:c r="J174" s="23"/>
      <x:c r="K174" s="20"/>
      <x:c r="L174" s="20"/>
      <x:c r="M174" s="20"/>
      <x:c r="N174" s="23"/>
      <x:c r="O174" s="23"/>
      <x:c r="P174" s="20"/>
      <x:c r="Q174" s="20"/>
      <x:c r="R174" s="20"/>
      <x:c r="S174" s="20"/>
      <x:c r="T174" s="23"/>
      <x:c r="U174" s="20" t="str">
        <x:f>IF(A174="","",IF(AND(O174&lt;&gt;"",O174&lt;TODAY()),"YES","NO"))</x:f>
      </x:c>
    </x:row>
    <x:row r="175">
      <x:c r="A175" s="20"/>
      <x:c r="B175" s="20"/>
      <x:c r="C175" s="20"/>
      <x:c r="D175" s="20"/>
      <x:c r="E175" s="20"/>
      <x:c r="F175" s="20"/>
      <x:c r="G175" s="20"/>
      <x:c r="H175" s="20"/>
      <x:c r="I175" s="20"/>
      <x:c r="J175" s="23"/>
      <x:c r="K175" s="20"/>
      <x:c r="L175" s="20"/>
      <x:c r="M175" s="20"/>
      <x:c r="N175" s="23"/>
      <x:c r="O175" s="23"/>
      <x:c r="P175" s="20"/>
      <x:c r="Q175" s="20"/>
      <x:c r="R175" s="20"/>
      <x:c r="S175" s="20"/>
      <x:c r="T175" s="23"/>
      <x:c r="U175" s="20" t="str">
        <x:f>IF(A175="","",IF(AND(O175&lt;&gt;"",O175&lt;TODAY()),"YES","NO"))</x:f>
      </x:c>
    </x:row>
    <x:row r="176">
      <x:c r="A176" s="20"/>
      <x:c r="B176" s="20"/>
      <x:c r="C176" s="20"/>
      <x:c r="D176" s="20"/>
      <x:c r="E176" s="20"/>
      <x:c r="F176" s="20"/>
      <x:c r="G176" s="20"/>
      <x:c r="H176" s="20"/>
      <x:c r="I176" s="20"/>
      <x:c r="J176" s="23"/>
      <x:c r="K176" s="20"/>
      <x:c r="L176" s="20"/>
      <x:c r="M176" s="20"/>
      <x:c r="N176" s="23"/>
      <x:c r="O176" s="23"/>
      <x:c r="P176" s="20"/>
      <x:c r="Q176" s="20"/>
      <x:c r="R176" s="20"/>
      <x:c r="S176" s="20"/>
      <x:c r="T176" s="23"/>
      <x:c r="U176" s="20" t="str">
        <x:f>IF(A176="","",IF(AND(O176&lt;&gt;"",O176&lt;TODAY()),"YES","NO"))</x:f>
      </x:c>
    </x:row>
    <x:row r="177">
      <x:c r="A177" s="20"/>
      <x:c r="B177" s="20"/>
      <x:c r="C177" s="20"/>
      <x:c r="D177" s="20"/>
      <x:c r="E177" s="20"/>
      <x:c r="F177" s="20"/>
      <x:c r="G177" s="20"/>
      <x:c r="H177" s="20"/>
      <x:c r="I177" s="20"/>
      <x:c r="J177" s="23"/>
      <x:c r="K177" s="20"/>
      <x:c r="L177" s="20"/>
      <x:c r="M177" s="20"/>
      <x:c r="N177" s="23"/>
      <x:c r="O177" s="23"/>
      <x:c r="P177" s="20"/>
      <x:c r="Q177" s="20"/>
      <x:c r="R177" s="20"/>
      <x:c r="S177" s="20"/>
      <x:c r="T177" s="23"/>
      <x:c r="U177" s="20" t="str">
        <x:f>IF(A177="","",IF(AND(O177&lt;&gt;"",O177&lt;TODAY()),"YES","NO"))</x:f>
      </x:c>
    </x:row>
    <x:row r="178">
      <x:c r="A178" s="20"/>
      <x:c r="B178" s="20"/>
      <x:c r="C178" s="20"/>
      <x:c r="D178" s="20"/>
      <x:c r="E178" s="20"/>
      <x:c r="F178" s="20"/>
      <x:c r="G178" s="20"/>
      <x:c r="H178" s="20"/>
      <x:c r="I178" s="20"/>
      <x:c r="J178" s="23"/>
      <x:c r="K178" s="20"/>
      <x:c r="L178" s="20"/>
      <x:c r="M178" s="20"/>
      <x:c r="N178" s="23"/>
      <x:c r="O178" s="23"/>
      <x:c r="P178" s="20"/>
      <x:c r="Q178" s="20"/>
      <x:c r="R178" s="20"/>
      <x:c r="S178" s="20"/>
      <x:c r="T178" s="23"/>
      <x:c r="U178" s="20" t="str">
        <x:f>IF(A178="","",IF(AND(O178&lt;&gt;"",O178&lt;TODAY()),"YES","NO"))</x:f>
      </x:c>
    </x:row>
    <x:row r="179">
      <x:c r="A179" s="20"/>
      <x:c r="B179" s="20"/>
      <x:c r="C179" s="20"/>
      <x:c r="D179" s="20"/>
      <x:c r="E179" s="20"/>
      <x:c r="F179" s="20"/>
      <x:c r="G179" s="20"/>
      <x:c r="H179" s="20"/>
      <x:c r="I179" s="20"/>
      <x:c r="J179" s="23"/>
      <x:c r="K179" s="20"/>
      <x:c r="L179" s="20"/>
      <x:c r="M179" s="20"/>
      <x:c r="N179" s="23"/>
      <x:c r="O179" s="23"/>
      <x:c r="P179" s="20"/>
      <x:c r="Q179" s="20"/>
      <x:c r="R179" s="20"/>
      <x:c r="S179" s="20"/>
      <x:c r="T179" s="23"/>
      <x:c r="U179" s="20" t="str">
        <x:f>IF(A179="","",IF(AND(O179&lt;&gt;"",O179&lt;TODAY()),"YES","NO"))</x:f>
      </x:c>
    </x:row>
    <x:row r="180">
      <x:c r="A180" s="20"/>
      <x:c r="B180" s="20"/>
      <x:c r="C180" s="20"/>
      <x:c r="D180" s="20"/>
      <x:c r="E180" s="20"/>
      <x:c r="F180" s="20"/>
      <x:c r="G180" s="20"/>
      <x:c r="H180" s="20"/>
      <x:c r="I180" s="20"/>
      <x:c r="J180" s="23"/>
      <x:c r="K180" s="20"/>
      <x:c r="L180" s="20"/>
      <x:c r="M180" s="20"/>
      <x:c r="N180" s="23"/>
      <x:c r="O180" s="23"/>
      <x:c r="P180" s="20"/>
      <x:c r="Q180" s="20"/>
      <x:c r="R180" s="20"/>
      <x:c r="S180" s="20"/>
      <x:c r="T180" s="23"/>
      <x:c r="U180" s="20" t="str">
        <x:f>IF(A180="","",IF(AND(O180&lt;&gt;"",O180&lt;TODAY()),"YES","NO"))</x:f>
      </x:c>
    </x:row>
    <x:row r="181">
      <x:c r="A181" s="20"/>
      <x:c r="B181" s="20"/>
      <x:c r="C181" s="20"/>
      <x:c r="D181" s="20"/>
      <x:c r="E181" s="20"/>
      <x:c r="F181" s="20"/>
      <x:c r="G181" s="20"/>
      <x:c r="H181" s="20"/>
      <x:c r="I181" s="20"/>
      <x:c r="J181" s="23"/>
      <x:c r="K181" s="20"/>
      <x:c r="L181" s="20"/>
      <x:c r="M181" s="20"/>
      <x:c r="N181" s="23"/>
      <x:c r="O181" s="23"/>
      <x:c r="P181" s="20"/>
      <x:c r="Q181" s="20"/>
      <x:c r="R181" s="20"/>
      <x:c r="S181" s="20"/>
      <x:c r="T181" s="23"/>
      <x:c r="U181" s="20" t="str">
        <x:f>IF(A181="","",IF(AND(O181&lt;&gt;"",O181&lt;TODAY()),"YES","NO"))</x:f>
      </x:c>
    </x:row>
    <x:row r="182">
      <x:c r="A182" s="20"/>
      <x:c r="B182" s="20"/>
      <x:c r="C182" s="20"/>
      <x:c r="D182" s="20"/>
      <x:c r="E182" s="20"/>
      <x:c r="F182" s="20"/>
      <x:c r="G182" s="20"/>
      <x:c r="H182" s="20"/>
      <x:c r="I182" s="20"/>
      <x:c r="J182" s="23"/>
      <x:c r="K182" s="20"/>
      <x:c r="L182" s="20"/>
      <x:c r="M182" s="20"/>
      <x:c r="N182" s="23"/>
      <x:c r="O182" s="23"/>
      <x:c r="P182" s="20"/>
      <x:c r="Q182" s="20"/>
      <x:c r="R182" s="20"/>
      <x:c r="S182" s="20"/>
      <x:c r="T182" s="23"/>
      <x:c r="U182" s="20" t="str">
        <x:f>IF(A182="","",IF(AND(O182&lt;&gt;"",O182&lt;TODAY()),"YES","NO"))</x:f>
      </x:c>
    </x:row>
    <x:row r="183">
      <x:c r="A183" s="20"/>
      <x:c r="B183" s="20"/>
      <x:c r="C183" s="20"/>
      <x:c r="D183" s="20"/>
      <x:c r="E183" s="20"/>
      <x:c r="F183" s="20"/>
      <x:c r="G183" s="20"/>
      <x:c r="H183" s="20"/>
      <x:c r="I183" s="20"/>
      <x:c r="J183" s="23"/>
      <x:c r="K183" s="20"/>
      <x:c r="L183" s="20"/>
      <x:c r="M183" s="20"/>
      <x:c r="N183" s="23"/>
      <x:c r="O183" s="23"/>
      <x:c r="P183" s="20"/>
      <x:c r="Q183" s="20"/>
      <x:c r="R183" s="20"/>
      <x:c r="S183" s="20"/>
      <x:c r="T183" s="23"/>
      <x:c r="U183" s="20" t="str">
        <x:f>IF(A183="","",IF(AND(O183&lt;&gt;"",O183&lt;TODAY()),"YES","NO"))</x:f>
      </x:c>
    </x:row>
    <x:row r="184">
      <x:c r="A184" s="20"/>
      <x:c r="B184" s="20"/>
      <x:c r="C184" s="20"/>
      <x:c r="D184" s="20"/>
      <x:c r="E184" s="20"/>
      <x:c r="F184" s="20"/>
      <x:c r="G184" s="20"/>
      <x:c r="H184" s="20"/>
      <x:c r="I184" s="20"/>
      <x:c r="J184" s="23"/>
      <x:c r="K184" s="20"/>
      <x:c r="L184" s="20"/>
      <x:c r="M184" s="20"/>
      <x:c r="N184" s="23"/>
      <x:c r="O184" s="23"/>
      <x:c r="P184" s="20"/>
      <x:c r="Q184" s="20"/>
      <x:c r="R184" s="20"/>
      <x:c r="S184" s="20"/>
      <x:c r="T184" s="23"/>
      <x:c r="U184" s="20" t="str">
        <x:f>IF(A184="","",IF(AND(O184&lt;&gt;"",O184&lt;TODAY()),"YES","NO"))</x:f>
      </x:c>
    </x:row>
    <x:row r="185">
      <x:c r="A185" s="20"/>
      <x:c r="B185" s="20"/>
      <x:c r="C185" s="20"/>
      <x:c r="D185" s="20"/>
      <x:c r="E185" s="20"/>
      <x:c r="F185" s="20"/>
      <x:c r="G185" s="20"/>
      <x:c r="H185" s="20"/>
      <x:c r="I185" s="20"/>
      <x:c r="J185" s="23"/>
      <x:c r="K185" s="20"/>
      <x:c r="L185" s="20"/>
      <x:c r="M185" s="20"/>
      <x:c r="N185" s="23"/>
      <x:c r="O185" s="23"/>
      <x:c r="P185" s="20"/>
      <x:c r="Q185" s="20"/>
      <x:c r="R185" s="20"/>
      <x:c r="S185" s="20"/>
      <x:c r="T185" s="23"/>
      <x:c r="U185" s="20" t="str">
        <x:f>IF(A185="","",IF(AND(O185&lt;&gt;"",O185&lt;TODAY()),"YES","NO"))</x:f>
      </x:c>
    </x:row>
    <x:row r="186">
      <x:c r="A186" s="20"/>
      <x:c r="B186" s="20"/>
      <x:c r="C186" s="20"/>
      <x:c r="D186" s="20"/>
      <x:c r="E186" s="20"/>
      <x:c r="F186" s="20"/>
      <x:c r="G186" s="20"/>
      <x:c r="H186" s="20"/>
      <x:c r="I186" s="20"/>
      <x:c r="J186" s="23"/>
      <x:c r="K186" s="20"/>
      <x:c r="L186" s="20"/>
      <x:c r="M186" s="20"/>
      <x:c r="N186" s="23"/>
      <x:c r="O186" s="23"/>
      <x:c r="P186" s="20"/>
      <x:c r="Q186" s="20"/>
      <x:c r="R186" s="20"/>
      <x:c r="S186" s="20"/>
      <x:c r="T186" s="23"/>
      <x:c r="U186" s="20" t="str">
        <x:f>IF(A186="","",IF(AND(O186&lt;&gt;"",O186&lt;TODAY()),"YES","NO"))</x:f>
      </x:c>
    </x:row>
    <x:row r="187">
      <x:c r="A187" s="20"/>
      <x:c r="B187" s="20"/>
      <x:c r="C187" s="20"/>
      <x:c r="D187" s="20"/>
      <x:c r="E187" s="20"/>
      <x:c r="F187" s="20"/>
      <x:c r="G187" s="20"/>
      <x:c r="H187" s="20"/>
      <x:c r="I187" s="20"/>
      <x:c r="J187" s="23"/>
      <x:c r="K187" s="20"/>
      <x:c r="L187" s="20"/>
      <x:c r="M187" s="20"/>
      <x:c r="N187" s="23"/>
      <x:c r="O187" s="23"/>
      <x:c r="P187" s="20"/>
      <x:c r="Q187" s="20"/>
      <x:c r="R187" s="20"/>
      <x:c r="S187" s="20"/>
      <x:c r="T187" s="23"/>
      <x:c r="U187" s="20" t="str">
        <x:f>IF(A187="","",IF(AND(O187&lt;&gt;"",O187&lt;TODAY()),"YES","NO"))</x:f>
      </x:c>
    </x:row>
    <x:row r="188">
      <x:c r="A188" s="20"/>
      <x:c r="B188" s="20"/>
      <x:c r="C188" s="20"/>
      <x:c r="D188" s="20"/>
      <x:c r="E188" s="20"/>
      <x:c r="F188" s="20"/>
      <x:c r="G188" s="20"/>
      <x:c r="H188" s="20"/>
      <x:c r="I188" s="20"/>
      <x:c r="J188" s="23"/>
      <x:c r="K188" s="20"/>
      <x:c r="L188" s="20"/>
      <x:c r="M188" s="20"/>
      <x:c r="N188" s="23"/>
      <x:c r="O188" s="23"/>
      <x:c r="P188" s="20"/>
      <x:c r="Q188" s="20"/>
      <x:c r="R188" s="20"/>
      <x:c r="S188" s="20"/>
      <x:c r="T188" s="23"/>
      <x:c r="U188" s="20" t="str">
        <x:f>IF(A188="","",IF(AND(O188&lt;&gt;"",O188&lt;TODAY()),"YES","NO"))</x:f>
      </x:c>
    </x:row>
    <x:row r="189">
      <x:c r="A189" s="20"/>
      <x:c r="B189" s="20"/>
      <x:c r="C189" s="20"/>
      <x:c r="D189" s="20"/>
      <x:c r="E189" s="20"/>
      <x:c r="F189" s="20"/>
      <x:c r="G189" s="20"/>
      <x:c r="H189" s="20"/>
      <x:c r="I189" s="20"/>
      <x:c r="J189" s="23"/>
      <x:c r="K189" s="20"/>
      <x:c r="L189" s="20"/>
      <x:c r="M189" s="20"/>
      <x:c r="N189" s="23"/>
      <x:c r="O189" s="23"/>
      <x:c r="P189" s="20"/>
      <x:c r="Q189" s="20"/>
      <x:c r="R189" s="20"/>
      <x:c r="S189" s="20"/>
      <x:c r="T189" s="23"/>
      <x:c r="U189" s="20" t="str">
        <x:f>IF(A189="","",IF(AND(O189&lt;&gt;"",O189&lt;TODAY()),"YES","NO"))</x:f>
      </x:c>
    </x:row>
    <x:row r="190">
      <x:c r="A190" s="20"/>
      <x:c r="B190" s="20"/>
      <x:c r="C190" s="20"/>
      <x:c r="D190" s="20"/>
      <x:c r="E190" s="20"/>
      <x:c r="F190" s="20"/>
      <x:c r="G190" s="20"/>
      <x:c r="H190" s="20"/>
      <x:c r="I190" s="20"/>
      <x:c r="J190" s="23"/>
      <x:c r="K190" s="20"/>
      <x:c r="L190" s="20"/>
      <x:c r="M190" s="20"/>
      <x:c r="N190" s="23"/>
      <x:c r="O190" s="23"/>
      <x:c r="P190" s="20"/>
      <x:c r="Q190" s="20"/>
      <x:c r="R190" s="20"/>
      <x:c r="S190" s="20"/>
      <x:c r="T190" s="23"/>
      <x:c r="U190" s="20" t="str">
        <x:f>IF(A190="","",IF(AND(O190&lt;&gt;"",O190&lt;TODAY()),"YES","NO"))</x:f>
      </x:c>
    </x:row>
    <x:row r="191">
      <x:c r="A191" s="20"/>
      <x:c r="B191" s="20"/>
      <x:c r="C191" s="20"/>
      <x:c r="D191" s="20"/>
      <x:c r="E191" s="20"/>
      <x:c r="F191" s="20"/>
      <x:c r="G191" s="20"/>
      <x:c r="H191" s="20"/>
      <x:c r="I191" s="20"/>
      <x:c r="J191" s="23"/>
      <x:c r="K191" s="20"/>
      <x:c r="L191" s="20"/>
      <x:c r="M191" s="20"/>
      <x:c r="N191" s="23"/>
      <x:c r="O191" s="23"/>
      <x:c r="P191" s="20"/>
      <x:c r="Q191" s="20"/>
      <x:c r="R191" s="20"/>
      <x:c r="S191" s="20"/>
      <x:c r="T191" s="23"/>
      <x:c r="U191" s="20" t="str">
        <x:f>IF(A191="","",IF(AND(O191&lt;&gt;"",O191&lt;TODAY()),"YES","NO"))</x:f>
      </x:c>
    </x:row>
    <x:row r="192">
      <x:c r="A192" s="20"/>
      <x:c r="B192" s="20"/>
      <x:c r="C192" s="20"/>
      <x:c r="D192" s="20"/>
      <x:c r="E192" s="20"/>
      <x:c r="F192" s="20"/>
      <x:c r="G192" s="20"/>
      <x:c r="H192" s="20"/>
      <x:c r="I192" s="20"/>
      <x:c r="J192" s="23"/>
      <x:c r="K192" s="20"/>
      <x:c r="L192" s="20"/>
      <x:c r="M192" s="20"/>
      <x:c r="N192" s="23"/>
      <x:c r="O192" s="23"/>
      <x:c r="P192" s="20"/>
      <x:c r="Q192" s="20"/>
      <x:c r="R192" s="20"/>
      <x:c r="S192" s="20"/>
      <x:c r="T192" s="23"/>
      <x:c r="U192" s="20" t="str">
        <x:f>IF(A192="","",IF(AND(O192&lt;&gt;"",O192&lt;TODAY()),"YES","NO"))</x:f>
      </x:c>
    </x:row>
    <x:row r="193">
      <x:c r="A193" s="20"/>
      <x:c r="B193" s="20"/>
      <x:c r="C193" s="20"/>
      <x:c r="D193" s="20"/>
      <x:c r="E193" s="20"/>
      <x:c r="F193" s="20"/>
      <x:c r="G193" s="20"/>
      <x:c r="H193" s="20"/>
      <x:c r="I193" s="20"/>
      <x:c r="J193" s="23"/>
      <x:c r="K193" s="20"/>
      <x:c r="L193" s="20"/>
      <x:c r="M193" s="20"/>
      <x:c r="N193" s="23"/>
      <x:c r="O193" s="23"/>
      <x:c r="P193" s="20"/>
      <x:c r="Q193" s="20"/>
      <x:c r="R193" s="20"/>
      <x:c r="S193" s="20"/>
      <x:c r="T193" s="23"/>
      <x:c r="U193" s="20" t="str">
        <x:f>IF(A193="","",IF(AND(O193&lt;&gt;"",O193&lt;TODAY()),"YES","NO"))</x:f>
      </x:c>
    </x:row>
    <x:row r="194">
      <x:c r="A194" s="20"/>
      <x:c r="B194" s="20"/>
      <x:c r="C194" s="20"/>
      <x:c r="D194" s="20"/>
      <x:c r="E194" s="20"/>
      <x:c r="F194" s="20"/>
      <x:c r="G194" s="20"/>
      <x:c r="H194" s="20"/>
      <x:c r="I194" s="20"/>
      <x:c r="J194" s="23"/>
      <x:c r="K194" s="20"/>
      <x:c r="L194" s="20"/>
      <x:c r="M194" s="20"/>
      <x:c r="N194" s="23"/>
      <x:c r="O194" s="23"/>
      <x:c r="P194" s="20"/>
      <x:c r="Q194" s="20"/>
      <x:c r="R194" s="20"/>
      <x:c r="S194" s="20"/>
      <x:c r="T194" s="23"/>
      <x:c r="U194" s="20" t="str">
        <x:f>IF(A194="","",IF(AND(O194&lt;&gt;"",O194&lt;TODAY()),"YES","NO"))</x:f>
      </x:c>
    </x:row>
    <x:row r="195">
      <x:c r="A195" s="20"/>
      <x:c r="B195" s="20"/>
      <x:c r="C195" s="20"/>
      <x:c r="D195" s="20"/>
      <x:c r="E195" s="20"/>
      <x:c r="F195" s="20"/>
      <x:c r="G195" s="20"/>
      <x:c r="H195" s="20"/>
      <x:c r="I195" s="20"/>
      <x:c r="J195" s="23"/>
      <x:c r="K195" s="20"/>
      <x:c r="L195" s="20"/>
      <x:c r="M195" s="20"/>
      <x:c r="N195" s="23"/>
      <x:c r="O195" s="23"/>
      <x:c r="P195" s="20"/>
      <x:c r="Q195" s="20"/>
      <x:c r="R195" s="20"/>
      <x:c r="S195" s="20"/>
      <x:c r="T195" s="23"/>
      <x:c r="U195" s="20" t="str">
        <x:f>IF(A195="","",IF(AND(O195&lt;&gt;"",O195&lt;TODAY()),"YES","NO"))</x:f>
      </x:c>
    </x:row>
    <x:row r="196">
      <x:c r="A196" s="20"/>
      <x:c r="B196" s="20"/>
      <x:c r="C196" s="20"/>
      <x:c r="D196" s="20"/>
      <x:c r="E196" s="20"/>
      <x:c r="F196" s="20"/>
      <x:c r="G196" s="20"/>
      <x:c r="H196" s="20"/>
      <x:c r="I196" s="20"/>
      <x:c r="J196" s="23"/>
      <x:c r="K196" s="20"/>
      <x:c r="L196" s="20"/>
      <x:c r="M196" s="20"/>
      <x:c r="N196" s="23"/>
      <x:c r="O196" s="23"/>
      <x:c r="P196" s="20"/>
      <x:c r="Q196" s="20"/>
      <x:c r="R196" s="20"/>
      <x:c r="S196" s="20"/>
      <x:c r="T196" s="23"/>
      <x:c r="U196" s="20" t="str">
        <x:f>IF(A196="","",IF(AND(O196&lt;&gt;"",O196&lt;TODAY()),"YES","NO"))</x:f>
      </x:c>
    </x:row>
    <x:row r="197">
      <x:c r="A197" s="20"/>
      <x:c r="B197" s="20"/>
      <x:c r="C197" s="20"/>
      <x:c r="D197" s="20"/>
      <x:c r="E197" s="20"/>
      <x:c r="F197" s="20"/>
      <x:c r="G197" s="20"/>
      <x:c r="H197" s="20"/>
      <x:c r="I197" s="20"/>
      <x:c r="J197" s="23"/>
      <x:c r="K197" s="20"/>
      <x:c r="L197" s="20"/>
      <x:c r="M197" s="20"/>
      <x:c r="N197" s="23"/>
      <x:c r="O197" s="23"/>
      <x:c r="P197" s="20"/>
      <x:c r="Q197" s="20"/>
      <x:c r="R197" s="20"/>
      <x:c r="S197" s="20"/>
      <x:c r="T197" s="23"/>
      <x:c r="U197" s="20" t="str">
        <x:f>IF(A197="","",IF(AND(O197&lt;&gt;"",O197&lt;TODAY()),"YES","NO"))</x:f>
      </x:c>
    </x:row>
    <x:row r="198">
      <x:c r="A198" s="20"/>
      <x:c r="B198" s="20"/>
      <x:c r="C198" s="20"/>
      <x:c r="D198" s="20"/>
      <x:c r="E198" s="20"/>
      <x:c r="F198" s="20"/>
      <x:c r="G198" s="20"/>
      <x:c r="H198" s="20"/>
      <x:c r="I198" s="20"/>
      <x:c r="J198" s="23"/>
      <x:c r="K198" s="20"/>
      <x:c r="L198" s="20"/>
      <x:c r="M198" s="20"/>
      <x:c r="N198" s="23"/>
      <x:c r="O198" s="23"/>
      <x:c r="P198" s="20"/>
      <x:c r="Q198" s="20"/>
      <x:c r="R198" s="20"/>
      <x:c r="S198" s="20"/>
      <x:c r="T198" s="23"/>
      <x:c r="U198" s="20" t="str">
        <x:f>IF(A198="","",IF(AND(O198&lt;&gt;"",O198&lt;TODAY()),"YES","NO"))</x:f>
      </x:c>
    </x:row>
    <x:row r="199">
      <x:c r="A199" s="20"/>
      <x:c r="B199" s="20"/>
      <x:c r="C199" s="20"/>
      <x:c r="D199" s="20"/>
      <x:c r="E199" s="20"/>
      <x:c r="F199" s="20"/>
      <x:c r="G199" s="20"/>
      <x:c r="H199" s="20"/>
      <x:c r="I199" s="20"/>
      <x:c r="J199" s="23"/>
      <x:c r="K199" s="20"/>
      <x:c r="L199" s="20"/>
      <x:c r="M199" s="20"/>
      <x:c r="N199" s="23"/>
      <x:c r="O199" s="23"/>
      <x:c r="P199" s="20"/>
      <x:c r="Q199" s="20"/>
      <x:c r="R199" s="20"/>
      <x:c r="S199" s="20"/>
      <x:c r="T199" s="23"/>
      <x:c r="U199" s="20" t="str">
        <x:f>IF(A199="","",IF(AND(O199&lt;&gt;"",O199&lt;TODAY()),"YES","NO"))</x:f>
      </x:c>
    </x:row>
    <x:row r="200">
      <x:c r="A200" s="20"/>
      <x:c r="B200" s="20"/>
      <x:c r="C200" s="20"/>
      <x:c r="D200" s="20"/>
      <x:c r="E200" s="20"/>
      <x:c r="F200" s="20"/>
      <x:c r="G200" s="20"/>
      <x:c r="H200" s="20"/>
      <x:c r="I200" s="20"/>
      <x:c r="J200" s="23"/>
      <x:c r="K200" s="20"/>
      <x:c r="L200" s="20"/>
      <x:c r="M200" s="20"/>
      <x:c r="N200" s="23"/>
      <x:c r="O200" s="23"/>
      <x:c r="P200" s="20"/>
      <x:c r="Q200" s="20"/>
      <x:c r="R200" s="20"/>
      <x:c r="S200" s="20"/>
      <x:c r="T200" s="23"/>
      <x:c r="U200" s="20" t="str">
        <x:f>IF(A200="","",IF(AND(O200&lt;&gt;"",O200&lt;TODAY()),"YES","NO"))</x:f>
      </x:c>
    </x:row>
    <x:row r="201">
      <x:c r="A201" s="20"/>
      <x:c r="B201" s="20"/>
      <x:c r="C201" s="20"/>
      <x:c r="D201" s="20"/>
      <x:c r="E201" s="20"/>
      <x:c r="F201" s="20"/>
      <x:c r="G201" s="20"/>
      <x:c r="H201" s="20"/>
      <x:c r="I201" s="20"/>
      <x:c r="J201" s="23"/>
      <x:c r="K201" s="20"/>
      <x:c r="L201" s="20"/>
      <x:c r="M201" s="20"/>
      <x:c r="N201" s="23"/>
      <x:c r="O201" s="23"/>
      <x:c r="P201" s="20"/>
      <x:c r="Q201" s="20"/>
      <x:c r="R201" s="20"/>
      <x:c r="S201" s="20"/>
      <x:c r="T201" s="23"/>
      <x:c r="U201" s="20" t="str">
        <x:f>IF(A201="","",IF(AND(O201&lt;&gt;"",O201&lt;TODAY()),"YES","NO"))</x:f>
      </x:c>
    </x:row>
    <x:row r="202">
      <x:c r="A202" s="20"/>
      <x:c r="B202" s="20"/>
      <x:c r="C202" s="20"/>
      <x:c r="D202" s="20"/>
      <x:c r="E202" s="20"/>
      <x:c r="F202" s="20"/>
      <x:c r="G202" s="20"/>
      <x:c r="H202" s="20"/>
      <x:c r="I202" s="20"/>
      <x:c r="J202" s="23"/>
      <x:c r="K202" s="20"/>
      <x:c r="L202" s="20"/>
      <x:c r="M202" s="20"/>
      <x:c r="N202" s="23"/>
      <x:c r="O202" s="23"/>
      <x:c r="P202" s="20"/>
      <x:c r="Q202" s="20"/>
      <x:c r="R202" s="20"/>
      <x:c r="S202" s="20"/>
      <x:c r="T202" s="23"/>
      <x:c r="U202" s="20" t="str">
        <x:f>IF(A202="","",IF(AND(O202&lt;&gt;"",O202&lt;TODAY()),"YES","NO"))</x:f>
      </x:c>
    </x:row>
    <x:row r="203">
      <x:c r="A203" s="20"/>
      <x:c r="B203" s="20"/>
      <x:c r="C203" s="20"/>
      <x:c r="D203" s="20"/>
      <x:c r="E203" s="20"/>
      <x:c r="F203" s="20"/>
      <x:c r="G203" s="20"/>
      <x:c r="H203" s="20"/>
      <x:c r="I203" s="20"/>
      <x:c r="J203" s="23"/>
      <x:c r="K203" s="20"/>
      <x:c r="L203" s="20"/>
      <x:c r="M203" s="20"/>
      <x:c r="N203" s="23"/>
      <x:c r="O203" s="23"/>
      <x:c r="P203" s="20"/>
      <x:c r="Q203" s="20"/>
      <x:c r="R203" s="20"/>
      <x:c r="S203" s="20"/>
      <x:c r="T203" s="23"/>
      <x:c r="U203" s="20" t="str">
        <x:f>IF(A203="","",IF(AND(O203&lt;&gt;"",O203&lt;TODAY()),"YES","NO"))</x:f>
      </x:c>
    </x:row>
    <x:row r="204">
      <x:c r="A204" s="21"/>
      <x:c r="B204" s="21"/>
      <x:c r="C204" s="21"/>
      <x:c r="D204" s="21"/>
      <x:c r="E204" s="21"/>
      <x:c r="F204" s="21"/>
      <x:c r="G204" s="21"/>
      <x:c r="H204" s="21"/>
      <x:c r="I204" s="21"/>
      <x:c r="J204" s="24"/>
      <x:c r="K204" s="21"/>
      <x:c r="L204" s="21"/>
      <x:c r="M204" s="21"/>
      <x:c r="N204" s="24"/>
      <x:c r="O204" s="24"/>
      <x:c r="P204" s="21"/>
      <x:c r="Q204" s="21"/>
      <x:c r="R204" s="21"/>
      <x:c r="S204" s="21"/>
      <x:c r="T204" s="24"/>
      <x:c r="U204" s="21" t="str">
        <x:f>IF(A204="","",IF(AND(O204&lt;&gt;"",O204&lt;TODAY()),"YES","NO"))</x:f>
      </x:c>
    </x:row>
  </x:sheetData>
  <x:mergeCells>
    <x:mergeCell ref="A1:U1"/>
    <x:mergeCell ref="A2:U2"/>
  </x:mergeCells>
  <x:conditionalFormatting sqref="A5:U204">
    <x:cfRule type="expression" dxfId="27" priority="1">
      <x:formula>OR($L5="Open",$L5="Blocked",$L5="Failed",$L5="Rejected",$L5="Not Authorised")</x:formula>
    </x:cfRule>
    <x:cfRule type="expression" dxfId="28" priority="2">
      <x:formula>OR($L5="Approved",$L5="Passed",$L5="Closed",$L5="Authorised")</x:formula>
    </x:cfRule>
    <x:cfRule type="expression" dxfId="29" priority="3">
      <x:formula>OR($L5="Pending",$L5="In Progress",$L5="Investigating",$L5="Conditional")</x:formula>
    </x:cfRule>
  </x:conditionalFormatting>
  <x:dataValidations count="4">
    <x:dataValidation type="list" sqref="D5:D204">
      <x:formula1>"G0,G1,G2,G3,G4,G5,G6,N/A"</x:formula1>
    </x:dataValidation>
    <x:dataValidation type="list" sqref="L5:L204">
      <x:formula1>"Draft,Submitted,Verified,Rejected,Stale"</x:formula1>
    </x:dataValidation>
    <x:dataValidation type="list" sqref="P5:P204">
      <x:formula1>"Yes,No"</x:formula1>
    </x:dataValidation>
    <x:dataValidation type="list" sqref="Q5:Q204">
      <x:formula1>"Internal,Restricted,Highly Restricted"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a4a618cae4f4db8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8" hidden="0" customWidth="1"/>
    <x:col min="5" max="5" width="26" hidden="0" customWidth="1"/>
    <x:col min="6" max="6" width="34" hidden="0" customWidth="1"/>
    <x:col min="7" max="7" width="28" hidden="0" customWidth="1"/>
    <x:col min="8" max="8" width="18" hidden="0" customWidth="1"/>
    <x:col min="9" max="9" width="18" hidden="0" customWidth="1"/>
    <x:col min="10" max="10" width="12" hidden="0" customWidth="1"/>
    <x:col min="11" max="11" width="12" hidden="0" customWidth="1"/>
    <x:col min="12" max="12" width="28" hidden="0" customWidth="1"/>
    <x:col min="13" max="13" width="14" hidden="0" customWidth="1"/>
    <x:col min="14" max="14" width="18" hidden="0" customWidth="1"/>
    <x:col min="15" max="15" width="30" hidden="0" customWidth="1"/>
    <x:col min="16" max="16" width="18" hidden="0" customWidth="1"/>
    <x:col min="17" max="17" width="34" hidden="0" customWidth="1"/>
    <x:col min="18" max="18" width="22" hidden="0" customWidth="1"/>
    <x:col min="19" max="19" width="22" hidden="0" customWidth="1"/>
    <x:col min="20" max="20" width="16" hidden="0" customWidth="1"/>
    <x:col min="21" max="21" width="18" hidden="0" customWidth="1"/>
    <x:col min="22" max="22" width="20" hidden="0" customWidth="1"/>
    <x:col min="23" max="23" width="30" hidden="0" customWidth="1"/>
    <x:col min="24" max="24" width="16" hidden="0" customWidth="1"/>
    <x:col min="25" max="25" width="14" hidden="0" customWidth="1"/>
  </x:cols>
  <x:sheetData>
    <x:row r="1" ht="34" customHeight="1">
      <x:c r="A1" s="3" t="str">
        <x:v>CHANGE CONTROL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</x:row>
    <x:row r="2" ht="28" customHeight="1">
      <x:c r="A2" s="7" t="str">
        <x:v>All material production-bound changes, including emergency work, with impact, approval and rollback.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  <x:c r="R2" s="7"/>
      <x:c r="S2" s="7"/>
      <x:c r="T2" s="7"/>
      <x:c r="U2" s="7"/>
      <x:c r="V2" s="7"/>
      <x:c r="W2" s="7"/>
      <x:c r="X2" s="7"/>
      <x:c r="Y2" s="7"/>
    </x:row>
    <x:row r="4" ht="32" customHeight="1">
      <x:c r="A4" s="12" t="str">
        <x:v>Change ID*</x:v>
      </x:c>
      <x:c r="B4" s="12" t="str">
        <x:v>Candidate ID</x:v>
      </x:c>
      <x:c r="C4" s="12" t="str">
        <x:v>Event ID</x:v>
      </x:c>
      <x:c r="D4" s="12" t="str">
        <x:v>Change Type*</x:v>
      </x:c>
      <x:c r="E4" s="12" t="str">
        <x:v>Title*</x:v>
      </x:c>
      <x:c r="F4" s="12" t="str">
        <x:v>Description*</x:v>
      </x:c>
      <x:c r="G4" s="12" t="str">
        <x:v>Reason*</x:v>
      </x:c>
      <x:c r="H4" s="12" t="str">
        <x:v>Requested By*</x:v>
      </x:c>
      <x:c r="I4" s="12" t="str">
        <x:v>Owner*</x:v>
      </x:c>
      <x:c r="J4" s="12" t="str">
        <x:v>Priority*</x:v>
      </x:c>
      <x:c r="K4" s="12" t="str">
        <x:v>Risk Rating*</x:v>
      </x:c>
      <x:c r="L4" s="12" t="str">
        <x:v>Affected Components*</x:v>
      </x:c>
      <x:c r="M4" s="12" t="str">
        <x:v>Data Migration?*</x:v>
      </x:c>
      <x:c r="N4" s="12" t="str">
        <x:v>Security / Privacy Impact?*</x:v>
      </x:c>
      <x:c r="O4" s="12" t="str">
        <x:v>Operational Impact*</x:v>
      </x:c>
      <x:c r="P4" s="12" t="str">
        <x:v>Planned Window</x:v>
      </x:c>
      <x:c r="Q4" s="12" t="str">
        <x:v>Rollback Plan*</x:v>
      </x:c>
      <x:c r="R4" s="12" t="str">
        <x:v>Test Evidence IDs*</x:v>
      </x:c>
      <x:c r="S4" s="12" t="str">
        <x:v>Approval IDs*</x:v>
      </x:c>
      <x:c r="T4" s="12" t="str">
        <x:v>Status*</x:v>
      </x:c>
      <x:c r="U4" s="12" t="str">
        <x:v>Deployed At</x:v>
      </x:c>
      <x:c r="V4" s="12" t="str">
        <x:v>Deployment Result</x:v>
      </x:c>
      <x:c r="W4" s="12" t="str">
        <x:v>Post-Change Review</x:v>
      </x:c>
      <x:c r="X4" s="12" t="str">
        <x:v>Decision ID</x:v>
      </x:c>
      <x:c r="Y4" s="12" t="str">
        <x:v>Last Updated*</x:v>
      </x:c>
    </x:row>
    <x:row r="5">
      <x:c r="A5" s="19"/>
      <x:c r="B5" s="19"/>
      <x:c r="C5" s="19"/>
      <x:c r="D5" s="19"/>
      <x:c r="E5" s="19"/>
      <x:c r="F5" s="19"/>
      <x:c r="G5" s="19"/>
      <x:c r="H5" s="19"/>
      <x:c r="I5" s="19"/>
      <x:c r="J5" s="19"/>
      <x:c r="K5" s="19"/>
      <x:c r="L5" s="19"/>
      <x:c r="M5" s="19"/>
      <x:c r="N5" s="19"/>
      <x:c r="O5" s="19"/>
      <x:c r="P5" s="22"/>
      <x:c r="Q5" s="19"/>
      <x:c r="R5" s="19"/>
      <x:c r="S5" s="19"/>
      <x:c r="T5" s="19"/>
      <x:c r="U5" s="22"/>
      <x:c r="V5" s="19"/>
      <x:c r="W5" s="19"/>
      <x:c r="X5" s="19"/>
      <x:c r="Y5" s="22"/>
    </x:row>
    <x:row r="6">
      <x:c r="A6" s="20"/>
      <x:c r="B6" s="20"/>
      <x:c r="C6" s="20"/>
      <x:c r="D6" s="20"/>
      <x:c r="E6" s="20"/>
      <x:c r="F6" s="20"/>
      <x:c r="G6" s="20"/>
      <x:c r="H6" s="20"/>
      <x:c r="I6" s="20"/>
      <x:c r="J6" s="20"/>
      <x:c r="K6" s="20"/>
      <x:c r="L6" s="20"/>
      <x:c r="M6" s="20"/>
      <x:c r="N6" s="20"/>
      <x:c r="O6" s="20"/>
      <x:c r="P6" s="23"/>
      <x:c r="Q6" s="20"/>
      <x:c r="R6" s="20"/>
      <x:c r="S6" s="20"/>
      <x:c r="T6" s="20"/>
      <x:c r="U6" s="23"/>
      <x:c r="V6" s="20"/>
      <x:c r="W6" s="20"/>
      <x:c r="X6" s="20"/>
      <x:c r="Y6" s="23"/>
    </x:row>
    <x:row r="7">
      <x:c r="A7" s="20"/>
      <x:c r="B7" s="20"/>
      <x:c r="C7" s="20"/>
      <x:c r="D7" s="20"/>
      <x:c r="E7" s="20"/>
      <x:c r="F7" s="20"/>
      <x:c r="G7" s="20"/>
      <x:c r="H7" s="20"/>
      <x:c r="I7" s="20"/>
      <x:c r="J7" s="20"/>
      <x:c r="K7" s="20"/>
      <x:c r="L7" s="20"/>
      <x:c r="M7" s="20"/>
      <x:c r="N7" s="20"/>
      <x:c r="O7" s="20"/>
      <x:c r="P7" s="23"/>
      <x:c r="Q7" s="20"/>
      <x:c r="R7" s="20"/>
      <x:c r="S7" s="20"/>
      <x:c r="T7" s="20"/>
      <x:c r="U7" s="23"/>
      <x:c r="V7" s="20"/>
      <x:c r="W7" s="20"/>
      <x:c r="X7" s="20"/>
      <x:c r="Y7" s="23"/>
    </x:row>
    <x:row r="8">
      <x:c r="A8" s="20"/>
      <x:c r="B8" s="20"/>
      <x:c r="C8" s="20"/>
      <x:c r="D8" s="20"/>
      <x:c r="E8" s="20"/>
      <x:c r="F8" s="20"/>
      <x:c r="G8" s="20"/>
      <x:c r="H8" s="20"/>
      <x:c r="I8" s="20"/>
      <x:c r="J8" s="20"/>
      <x:c r="K8" s="20"/>
      <x:c r="L8" s="20"/>
      <x:c r="M8" s="20"/>
      <x:c r="N8" s="20"/>
      <x:c r="O8" s="20"/>
      <x:c r="P8" s="23"/>
      <x:c r="Q8" s="20"/>
      <x:c r="R8" s="20"/>
      <x:c r="S8" s="20"/>
      <x:c r="T8" s="20"/>
      <x:c r="U8" s="23"/>
      <x:c r="V8" s="20"/>
      <x:c r="W8" s="20"/>
      <x:c r="X8" s="20"/>
      <x:c r="Y8" s="23"/>
    </x:row>
    <x:row r="9">
      <x:c r="A9" s="20"/>
      <x:c r="B9" s="20"/>
      <x:c r="C9" s="20"/>
      <x:c r="D9" s="20"/>
      <x:c r="E9" s="20"/>
      <x:c r="F9" s="20"/>
      <x:c r="G9" s="20"/>
      <x:c r="H9" s="20"/>
      <x:c r="I9" s="20"/>
      <x:c r="J9" s="20"/>
      <x:c r="K9" s="20"/>
      <x:c r="L9" s="20"/>
      <x:c r="M9" s="20"/>
      <x:c r="N9" s="20"/>
      <x:c r="O9" s="20"/>
      <x:c r="P9" s="23"/>
      <x:c r="Q9" s="20"/>
      <x:c r="R9" s="20"/>
      <x:c r="S9" s="20"/>
      <x:c r="T9" s="20"/>
      <x:c r="U9" s="23"/>
      <x:c r="V9" s="20"/>
      <x:c r="W9" s="20"/>
      <x:c r="X9" s="20"/>
      <x:c r="Y9" s="23"/>
    </x:row>
    <x:row r="10">
      <x:c r="A10" s="20"/>
      <x:c r="B10" s="20"/>
      <x:c r="C10" s="20"/>
      <x:c r="D10" s="20"/>
      <x:c r="E10" s="20"/>
      <x:c r="F10" s="20"/>
      <x:c r="G10" s="20"/>
      <x:c r="H10" s="20"/>
      <x:c r="I10" s="20"/>
      <x:c r="J10" s="20"/>
      <x:c r="K10" s="20"/>
      <x:c r="L10" s="20"/>
      <x:c r="M10" s="20"/>
      <x:c r="N10" s="20"/>
      <x:c r="O10" s="20"/>
      <x:c r="P10" s="23"/>
      <x:c r="Q10" s="20"/>
      <x:c r="R10" s="20"/>
      <x:c r="S10" s="20"/>
      <x:c r="T10" s="20"/>
      <x:c r="U10" s="23"/>
      <x:c r="V10" s="20"/>
      <x:c r="W10" s="20"/>
      <x:c r="X10" s="20"/>
      <x:c r="Y10" s="23"/>
    </x:row>
    <x:row r="11">
      <x:c r="A11" s="20"/>
      <x:c r="B11" s="20"/>
      <x:c r="C11" s="20"/>
      <x:c r="D11" s="20"/>
      <x:c r="E11" s="20"/>
      <x:c r="F11" s="20"/>
      <x:c r="G11" s="20"/>
      <x:c r="H11" s="20"/>
      <x:c r="I11" s="20"/>
      <x:c r="J11" s="20"/>
      <x:c r="K11" s="20"/>
      <x:c r="L11" s="20"/>
      <x:c r="M11" s="20"/>
      <x:c r="N11" s="20"/>
      <x:c r="O11" s="20"/>
      <x:c r="P11" s="23"/>
      <x:c r="Q11" s="20"/>
      <x:c r="R11" s="20"/>
      <x:c r="S11" s="20"/>
      <x:c r="T11" s="20"/>
      <x:c r="U11" s="23"/>
      <x:c r="V11" s="20"/>
      <x:c r="W11" s="20"/>
      <x:c r="X11" s="20"/>
      <x:c r="Y11" s="23"/>
    </x:row>
    <x:row r="12">
      <x:c r="A12" s="20"/>
      <x:c r="B12" s="20"/>
      <x:c r="C12" s="20"/>
      <x:c r="D12" s="20"/>
      <x:c r="E12" s="20"/>
      <x:c r="F12" s="20"/>
      <x:c r="G12" s="20"/>
      <x:c r="H12" s="20"/>
      <x:c r="I12" s="20"/>
      <x:c r="J12" s="20"/>
      <x:c r="K12" s="20"/>
      <x:c r="L12" s="20"/>
      <x:c r="M12" s="20"/>
      <x:c r="N12" s="20"/>
      <x:c r="O12" s="20"/>
      <x:c r="P12" s="23"/>
      <x:c r="Q12" s="20"/>
      <x:c r="R12" s="20"/>
      <x:c r="S12" s="20"/>
      <x:c r="T12" s="20"/>
      <x:c r="U12" s="23"/>
      <x:c r="V12" s="20"/>
      <x:c r="W12" s="20"/>
      <x:c r="X12" s="20"/>
      <x:c r="Y12" s="23"/>
    </x:row>
    <x:row r="13">
      <x:c r="A13" s="20"/>
      <x:c r="B13" s="20"/>
      <x:c r="C13" s="20"/>
      <x:c r="D13" s="20"/>
      <x:c r="E13" s="20"/>
      <x:c r="F13" s="20"/>
      <x:c r="G13" s="20"/>
      <x:c r="H13" s="20"/>
      <x:c r="I13" s="20"/>
      <x:c r="J13" s="20"/>
      <x:c r="K13" s="20"/>
      <x:c r="L13" s="20"/>
      <x:c r="M13" s="20"/>
      <x:c r="N13" s="20"/>
      <x:c r="O13" s="20"/>
      <x:c r="P13" s="23"/>
      <x:c r="Q13" s="20"/>
      <x:c r="R13" s="20"/>
      <x:c r="S13" s="20"/>
      <x:c r="T13" s="20"/>
      <x:c r="U13" s="23"/>
      <x:c r="V13" s="20"/>
      <x:c r="W13" s="20"/>
      <x:c r="X13" s="20"/>
      <x:c r="Y13" s="23"/>
    </x:row>
    <x:row r="14">
      <x:c r="A14" s="20"/>
      <x:c r="B14" s="20"/>
      <x:c r="C14" s="20"/>
      <x:c r="D14" s="20"/>
      <x:c r="E14" s="20"/>
      <x:c r="F14" s="20"/>
      <x:c r="G14" s="20"/>
      <x:c r="H14" s="20"/>
      <x:c r="I14" s="20"/>
      <x:c r="J14" s="20"/>
      <x:c r="K14" s="20"/>
      <x:c r="L14" s="20"/>
      <x:c r="M14" s="20"/>
      <x:c r="N14" s="20"/>
      <x:c r="O14" s="20"/>
      <x:c r="P14" s="23"/>
      <x:c r="Q14" s="20"/>
      <x:c r="R14" s="20"/>
      <x:c r="S14" s="20"/>
      <x:c r="T14" s="20"/>
      <x:c r="U14" s="23"/>
      <x:c r="V14" s="20"/>
      <x:c r="W14" s="20"/>
      <x:c r="X14" s="20"/>
      <x:c r="Y14" s="23"/>
    </x:row>
    <x:row r="15">
      <x:c r="A15" s="20"/>
      <x:c r="B15" s="20"/>
      <x:c r="C15" s="20"/>
      <x:c r="D15" s="20"/>
      <x:c r="E15" s="20"/>
      <x:c r="F15" s="20"/>
      <x:c r="G15" s="20"/>
      <x:c r="H15" s="20"/>
      <x:c r="I15" s="20"/>
      <x:c r="J15" s="20"/>
      <x:c r="K15" s="20"/>
      <x:c r="L15" s="20"/>
      <x:c r="M15" s="20"/>
      <x:c r="N15" s="20"/>
      <x:c r="O15" s="20"/>
      <x:c r="P15" s="23"/>
      <x:c r="Q15" s="20"/>
      <x:c r="R15" s="20"/>
      <x:c r="S15" s="20"/>
      <x:c r="T15" s="20"/>
      <x:c r="U15" s="23"/>
      <x:c r="V15" s="20"/>
      <x:c r="W15" s="20"/>
      <x:c r="X15" s="20"/>
      <x:c r="Y15" s="23"/>
    </x:row>
    <x:row r="16">
      <x:c r="A16" s="20"/>
      <x:c r="B16" s="20"/>
      <x:c r="C16" s="20"/>
      <x:c r="D16" s="20"/>
      <x:c r="E16" s="20"/>
      <x:c r="F16" s="20"/>
      <x:c r="G16" s="20"/>
      <x:c r="H16" s="20"/>
      <x:c r="I16" s="20"/>
      <x:c r="J16" s="20"/>
      <x:c r="K16" s="20"/>
      <x:c r="L16" s="20"/>
      <x:c r="M16" s="20"/>
      <x:c r="N16" s="20"/>
      <x:c r="O16" s="20"/>
      <x:c r="P16" s="23"/>
      <x:c r="Q16" s="20"/>
      <x:c r="R16" s="20"/>
      <x:c r="S16" s="20"/>
      <x:c r="T16" s="20"/>
      <x:c r="U16" s="23"/>
      <x:c r="V16" s="20"/>
      <x:c r="W16" s="20"/>
      <x:c r="X16" s="20"/>
      <x:c r="Y16" s="23"/>
    </x:row>
    <x:row r="17">
      <x:c r="A17" s="20"/>
      <x:c r="B17" s="20"/>
      <x:c r="C17" s="20"/>
      <x:c r="D17" s="20"/>
      <x:c r="E17" s="20"/>
      <x:c r="F17" s="20"/>
      <x:c r="G17" s="20"/>
      <x:c r="H17" s="20"/>
      <x:c r="I17" s="20"/>
      <x:c r="J17" s="20"/>
      <x:c r="K17" s="20"/>
      <x:c r="L17" s="20"/>
      <x:c r="M17" s="20"/>
      <x:c r="N17" s="20"/>
      <x:c r="O17" s="20"/>
      <x:c r="P17" s="23"/>
      <x:c r="Q17" s="20"/>
      <x:c r="R17" s="20"/>
      <x:c r="S17" s="20"/>
      <x:c r="T17" s="20"/>
      <x:c r="U17" s="23"/>
      <x:c r="V17" s="20"/>
      <x:c r="W17" s="20"/>
      <x:c r="X17" s="20"/>
      <x:c r="Y17" s="23"/>
    </x:row>
    <x:row r="18">
      <x:c r="A18" s="20"/>
      <x:c r="B18" s="20"/>
      <x:c r="C18" s="20"/>
      <x:c r="D18" s="20"/>
      <x:c r="E18" s="20"/>
      <x:c r="F18" s="20"/>
      <x:c r="G18" s="20"/>
      <x:c r="H18" s="20"/>
      <x:c r="I18" s="20"/>
      <x:c r="J18" s="20"/>
      <x:c r="K18" s="20"/>
      <x:c r="L18" s="20"/>
      <x:c r="M18" s="20"/>
      <x:c r="N18" s="20"/>
      <x:c r="O18" s="20"/>
      <x:c r="P18" s="23"/>
      <x:c r="Q18" s="20"/>
      <x:c r="R18" s="20"/>
      <x:c r="S18" s="20"/>
      <x:c r="T18" s="20"/>
      <x:c r="U18" s="23"/>
      <x:c r="V18" s="20"/>
      <x:c r="W18" s="20"/>
      <x:c r="X18" s="20"/>
      <x:c r="Y18" s="23"/>
    </x:row>
    <x:row r="19">
      <x:c r="A19" s="20"/>
      <x:c r="B19" s="20"/>
      <x:c r="C19" s="20"/>
      <x:c r="D19" s="20"/>
      <x:c r="E19" s="20"/>
      <x:c r="F19" s="20"/>
      <x:c r="G19" s="20"/>
      <x:c r="H19" s="20"/>
      <x:c r="I19" s="20"/>
      <x:c r="J19" s="20"/>
      <x:c r="K19" s="20"/>
      <x:c r="L19" s="20"/>
      <x:c r="M19" s="20"/>
      <x:c r="N19" s="20"/>
      <x:c r="O19" s="20"/>
      <x:c r="P19" s="23"/>
      <x:c r="Q19" s="20"/>
      <x:c r="R19" s="20"/>
      <x:c r="S19" s="20"/>
      <x:c r="T19" s="20"/>
      <x:c r="U19" s="23"/>
      <x:c r="V19" s="20"/>
      <x:c r="W19" s="20"/>
      <x:c r="X19" s="20"/>
      <x:c r="Y19" s="23"/>
    </x:row>
    <x:row r="20">
      <x:c r="A20" s="20"/>
      <x:c r="B20" s="20"/>
      <x:c r="C20" s="20"/>
      <x:c r="D20" s="20"/>
      <x:c r="E20" s="20"/>
      <x:c r="F20" s="20"/>
      <x:c r="G20" s="20"/>
      <x:c r="H20" s="20"/>
      <x:c r="I20" s="20"/>
      <x:c r="J20" s="20"/>
      <x:c r="K20" s="20"/>
      <x:c r="L20" s="20"/>
      <x:c r="M20" s="20"/>
      <x:c r="N20" s="20"/>
      <x:c r="O20" s="20"/>
      <x:c r="P20" s="23"/>
      <x:c r="Q20" s="20"/>
      <x:c r="R20" s="20"/>
      <x:c r="S20" s="20"/>
      <x:c r="T20" s="20"/>
      <x:c r="U20" s="23"/>
      <x:c r="V20" s="20"/>
      <x:c r="W20" s="20"/>
      <x:c r="X20" s="20"/>
      <x:c r="Y20" s="23"/>
    </x:row>
    <x:row r="21">
      <x:c r="A21" s="20"/>
      <x:c r="B21" s="20"/>
      <x:c r="C21" s="20"/>
      <x:c r="D21" s="20"/>
      <x:c r="E21" s="20"/>
      <x:c r="F21" s="20"/>
      <x:c r="G21" s="20"/>
      <x:c r="H21" s="20"/>
      <x:c r="I21" s="20"/>
      <x:c r="J21" s="20"/>
      <x:c r="K21" s="20"/>
      <x:c r="L21" s="20"/>
      <x:c r="M21" s="20"/>
      <x:c r="N21" s="20"/>
      <x:c r="O21" s="20"/>
      <x:c r="P21" s="23"/>
      <x:c r="Q21" s="20"/>
      <x:c r="R21" s="20"/>
      <x:c r="S21" s="20"/>
      <x:c r="T21" s="20"/>
      <x:c r="U21" s="23"/>
      <x:c r="V21" s="20"/>
      <x:c r="W21" s="20"/>
      <x:c r="X21" s="20"/>
      <x:c r="Y21" s="23"/>
    </x:row>
    <x:row r="22">
      <x:c r="A22" s="20"/>
      <x:c r="B22" s="20"/>
      <x:c r="C22" s="20"/>
      <x:c r="D22" s="20"/>
      <x:c r="E22" s="20"/>
      <x:c r="F22" s="20"/>
      <x:c r="G22" s="20"/>
      <x:c r="H22" s="20"/>
      <x:c r="I22" s="20"/>
      <x:c r="J22" s="20"/>
      <x:c r="K22" s="20"/>
      <x:c r="L22" s="20"/>
      <x:c r="M22" s="20"/>
      <x:c r="N22" s="20"/>
      <x:c r="O22" s="20"/>
      <x:c r="P22" s="23"/>
      <x:c r="Q22" s="20"/>
      <x:c r="R22" s="20"/>
      <x:c r="S22" s="20"/>
      <x:c r="T22" s="20"/>
      <x:c r="U22" s="23"/>
      <x:c r="V22" s="20"/>
      <x:c r="W22" s="20"/>
      <x:c r="X22" s="20"/>
      <x:c r="Y22" s="23"/>
    </x:row>
    <x:row r="23">
      <x:c r="A23" s="20"/>
      <x:c r="B23" s="20"/>
      <x:c r="C23" s="20"/>
      <x:c r="D23" s="20"/>
      <x:c r="E23" s="20"/>
      <x:c r="F23" s="20"/>
      <x:c r="G23" s="20"/>
      <x:c r="H23" s="20"/>
      <x:c r="I23" s="20"/>
      <x:c r="J23" s="20"/>
      <x:c r="K23" s="20"/>
      <x:c r="L23" s="20"/>
      <x:c r="M23" s="20"/>
      <x:c r="N23" s="20"/>
      <x:c r="O23" s="20"/>
      <x:c r="P23" s="23"/>
      <x:c r="Q23" s="20"/>
      <x:c r="R23" s="20"/>
      <x:c r="S23" s="20"/>
      <x:c r="T23" s="20"/>
      <x:c r="U23" s="23"/>
      <x:c r="V23" s="20"/>
      <x:c r="W23" s="20"/>
      <x:c r="X23" s="20"/>
      <x:c r="Y23" s="23"/>
    </x:row>
    <x:row r="24">
      <x:c r="A24" s="20"/>
      <x:c r="B24" s="20"/>
      <x:c r="C24" s="20"/>
      <x:c r="D24" s="20"/>
      <x:c r="E24" s="20"/>
      <x:c r="F24" s="20"/>
      <x:c r="G24" s="20"/>
      <x:c r="H24" s="20"/>
      <x:c r="I24" s="20"/>
      <x:c r="J24" s="20"/>
      <x:c r="K24" s="20"/>
      <x:c r="L24" s="20"/>
      <x:c r="M24" s="20"/>
      <x:c r="N24" s="20"/>
      <x:c r="O24" s="20"/>
      <x:c r="P24" s="23"/>
      <x:c r="Q24" s="20"/>
      <x:c r="R24" s="20"/>
      <x:c r="S24" s="20"/>
      <x:c r="T24" s="20"/>
      <x:c r="U24" s="23"/>
      <x:c r="V24" s="20"/>
      <x:c r="W24" s="20"/>
      <x:c r="X24" s="20"/>
      <x:c r="Y24" s="23"/>
    </x:row>
    <x:row r="25">
      <x:c r="A25" s="20"/>
      <x:c r="B25" s="20"/>
      <x:c r="C25" s="20"/>
      <x:c r="D25" s="20"/>
      <x:c r="E25" s="20"/>
      <x:c r="F25" s="20"/>
      <x:c r="G25" s="20"/>
      <x:c r="H25" s="20"/>
      <x:c r="I25" s="20"/>
      <x:c r="J25" s="20"/>
      <x:c r="K25" s="20"/>
      <x:c r="L25" s="20"/>
      <x:c r="M25" s="20"/>
      <x:c r="N25" s="20"/>
      <x:c r="O25" s="20"/>
      <x:c r="P25" s="23"/>
      <x:c r="Q25" s="20"/>
      <x:c r="R25" s="20"/>
      <x:c r="S25" s="20"/>
      <x:c r="T25" s="20"/>
      <x:c r="U25" s="23"/>
      <x:c r="V25" s="20"/>
      <x:c r="W25" s="20"/>
      <x:c r="X25" s="20"/>
      <x:c r="Y25" s="23"/>
    </x:row>
    <x:row r="26">
      <x:c r="A26" s="20"/>
      <x:c r="B26" s="20"/>
      <x:c r="C26" s="20"/>
      <x:c r="D26" s="20"/>
      <x:c r="E26" s="20"/>
      <x:c r="F26" s="20"/>
      <x:c r="G26" s="20"/>
      <x:c r="H26" s="20"/>
      <x:c r="I26" s="20"/>
      <x:c r="J26" s="20"/>
      <x:c r="K26" s="20"/>
      <x:c r="L26" s="20"/>
      <x:c r="M26" s="20"/>
      <x:c r="N26" s="20"/>
      <x:c r="O26" s="20"/>
      <x:c r="P26" s="23"/>
      <x:c r="Q26" s="20"/>
      <x:c r="R26" s="20"/>
      <x:c r="S26" s="20"/>
      <x:c r="T26" s="20"/>
      <x:c r="U26" s="23"/>
      <x:c r="V26" s="20"/>
      <x:c r="W26" s="20"/>
      <x:c r="X26" s="20"/>
      <x:c r="Y26" s="23"/>
    </x:row>
    <x:row r="27">
      <x:c r="A27" s="20"/>
      <x:c r="B27" s="20"/>
      <x:c r="C27" s="20"/>
      <x:c r="D27" s="20"/>
      <x:c r="E27" s="20"/>
      <x:c r="F27" s="20"/>
      <x:c r="G27" s="20"/>
      <x:c r="H27" s="20"/>
      <x:c r="I27" s="20"/>
      <x:c r="J27" s="20"/>
      <x:c r="K27" s="20"/>
      <x:c r="L27" s="20"/>
      <x:c r="M27" s="20"/>
      <x:c r="N27" s="20"/>
      <x:c r="O27" s="20"/>
      <x:c r="P27" s="23"/>
      <x:c r="Q27" s="20"/>
      <x:c r="R27" s="20"/>
      <x:c r="S27" s="20"/>
      <x:c r="T27" s="20"/>
      <x:c r="U27" s="23"/>
      <x:c r="V27" s="20"/>
      <x:c r="W27" s="20"/>
      <x:c r="X27" s="20"/>
      <x:c r="Y27" s="23"/>
    </x:row>
    <x:row r="28">
      <x:c r="A28" s="20"/>
      <x:c r="B28" s="20"/>
      <x:c r="C28" s="20"/>
      <x:c r="D28" s="20"/>
      <x:c r="E28" s="20"/>
      <x:c r="F28" s="20"/>
      <x:c r="G28" s="20"/>
      <x:c r="H28" s="20"/>
      <x:c r="I28" s="20"/>
      <x:c r="J28" s="20"/>
      <x:c r="K28" s="20"/>
      <x:c r="L28" s="20"/>
      <x:c r="M28" s="20"/>
      <x:c r="N28" s="20"/>
      <x:c r="O28" s="20"/>
      <x:c r="P28" s="23"/>
      <x:c r="Q28" s="20"/>
      <x:c r="R28" s="20"/>
      <x:c r="S28" s="20"/>
      <x:c r="T28" s="20"/>
      <x:c r="U28" s="23"/>
      <x:c r="V28" s="20"/>
      <x:c r="W28" s="20"/>
      <x:c r="X28" s="20"/>
      <x:c r="Y28" s="23"/>
    </x:row>
    <x:row r="29">
      <x:c r="A29" s="20"/>
      <x:c r="B29" s="20"/>
      <x:c r="C29" s="20"/>
      <x:c r="D29" s="20"/>
      <x:c r="E29" s="20"/>
      <x:c r="F29" s="20"/>
      <x:c r="G29" s="20"/>
      <x:c r="H29" s="20"/>
      <x:c r="I29" s="20"/>
      <x:c r="J29" s="20"/>
      <x:c r="K29" s="20"/>
      <x:c r="L29" s="20"/>
      <x:c r="M29" s="20"/>
      <x:c r="N29" s="20"/>
      <x:c r="O29" s="20"/>
      <x:c r="P29" s="23"/>
      <x:c r="Q29" s="20"/>
      <x:c r="R29" s="20"/>
      <x:c r="S29" s="20"/>
      <x:c r="T29" s="20"/>
      <x:c r="U29" s="23"/>
      <x:c r="V29" s="20"/>
      <x:c r="W29" s="20"/>
      <x:c r="X29" s="20"/>
      <x:c r="Y29" s="23"/>
    </x:row>
    <x:row r="30">
      <x:c r="A30" s="20"/>
      <x:c r="B30" s="20"/>
      <x:c r="C30" s="20"/>
      <x:c r="D30" s="20"/>
      <x:c r="E30" s="20"/>
      <x:c r="F30" s="20"/>
      <x:c r="G30" s="20"/>
      <x:c r="H30" s="20"/>
      <x:c r="I30" s="20"/>
      <x:c r="J30" s="20"/>
      <x:c r="K30" s="20"/>
      <x:c r="L30" s="20"/>
      <x:c r="M30" s="20"/>
      <x:c r="N30" s="20"/>
      <x:c r="O30" s="20"/>
      <x:c r="P30" s="23"/>
      <x:c r="Q30" s="20"/>
      <x:c r="R30" s="20"/>
      <x:c r="S30" s="20"/>
      <x:c r="T30" s="20"/>
      <x:c r="U30" s="23"/>
      <x:c r="V30" s="20"/>
      <x:c r="W30" s="20"/>
      <x:c r="X30" s="20"/>
      <x:c r="Y30" s="23"/>
    </x:row>
    <x:row r="31">
      <x:c r="A31" s="20"/>
      <x:c r="B31" s="20"/>
      <x:c r="C31" s="20"/>
      <x:c r="D31" s="20"/>
      <x:c r="E31" s="20"/>
      <x:c r="F31" s="20"/>
      <x:c r="G31" s="20"/>
      <x:c r="H31" s="20"/>
      <x:c r="I31" s="20"/>
      <x:c r="J31" s="20"/>
      <x:c r="K31" s="20"/>
      <x:c r="L31" s="20"/>
      <x:c r="M31" s="20"/>
      <x:c r="N31" s="20"/>
      <x:c r="O31" s="20"/>
      <x:c r="P31" s="23"/>
      <x:c r="Q31" s="20"/>
      <x:c r="R31" s="20"/>
      <x:c r="S31" s="20"/>
      <x:c r="T31" s="20"/>
      <x:c r="U31" s="23"/>
      <x:c r="V31" s="20"/>
      <x:c r="W31" s="20"/>
      <x:c r="X31" s="20"/>
      <x:c r="Y31" s="23"/>
    </x:row>
    <x:row r="32">
      <x:c r="A32" s="20"/>
      <x:c r="B32" s="20"/>
      <x:c r="C32" s="20"/>
      <x:c r="D32" s="20"/>
      <x:c r="E32" s="20"/>
      <x:c r="F32" s="20"/>
      <x:c r="G32" s="20"/>
      <x:c r="H32" s="20"/>
      <x:c r="I32" s="20"/>
      <x:c r="J32" s="20"/>
      <x:c r="K32" s="20"/>
      <x:c r="L32" s="20"/>
      <x:c r="M32" s="20"/>
      <x:c r="N32" s="20"/>
      <x:c r="O32" s="20"/>
      <x:c r="P32" s="23"/>
      <x:c r="Q32" s="20"/>
      <x:c r="R32" s="20"/>
      <x:c r="S32" s="20"/>
      <x:c r="T32" s="20"/>
      <x:c r="U32" s="23"/>
      <x:c r="V32" s="20"/>
      <x:c r="W32" s="20"/>
      <x:c r="X32" s="20"/>
      <x:c r="Y32" s="23"/>
    </x:row>
    <x:row r="33">
      <x:c r="A33" s="20"/>
      <x:c r="B33" s="20"/>
      <x:c r="C33" s="20"/>
      <x:c r="D33" s="20"/>
      <x:c r="E33" s="20"/>
      <x:c r="F33" s="20"/>
      <x:c r="G33" s="20"/>
      <x:c r="H33" s="20"/>
      <x:c r="I33" s="20"/>
      <x:c r="J33" s="20"/>
      <x:c r="K33" s="20"/>
      <x:c r="L33" s="20"/>
      <x:c r="M33" s="20"/>
      <x:c r="N33" s="20"/>
      <x:c r="O33" s="20"/>
      <x:c r="P33" s="23"/>
      <x:c r="Q33" s="20"/>
      <x:c r="R33" s="20"/>
      <x:c r="S33" s="20"/>
      <x:c r="T33" s="20"/>
      <x:c r="U33" s="23"/>
      <x:c r="V33" s="20"/>
      <x:c r="W33" s="20"/>
      <x:c r="X33" s="20"/>
      <x:c r="Y33" s="23"/>
    </x:row>
    <x:row r="34">
      <x:c r="A34" s="20"/>
      <x:c r="B34" s="20"/>
      <x:c r="C34" s="20"/>
      <x:c r="D34" s="20"/>
      <x:c r="E34" s="20"/>
      <x:c r="F34" s="20"/>
      <x:c r="G34" s="20"/>
      <x:c r="H34" s="20"/>
      <x:c r="I34" s="20"/>
      <x:c r="J34" s="20"/>
      <x:c r="K34" s="20"/>
      <x:c r="L34" s="20"/>
      <x:c r="M34" s="20"/>
      <x:c r="N34" s="20"/>
      <x:c r="O34" s="20"/>
      <x:c r="P34" s="23"/>
      <x:c r="Q34" s="20"/>
      <x:c r="R34" s="20"/>
      <x:c r="S34" s="20"/>
      <x:c r="T34" s="20"/>
      <x:c r="U34" s="23"/>
      <x:c r="V34" s="20"/>
      <x:c r="W34" s="20"/>
      <x:c r="X34" s="20"/>
      <x:c r="Y34" s="23"/>
    </x:row>
    <x:row r="35">
      <x:c r="A35" s="20"/>
      <x:c r="B35" s="20"/>
      <x:c r="C35" s="20"/>
      <x:c r="D35" s="20"/>
      <x:c r="E35" s="20"/>
      <x:c r="F35" s="20"/>
      <x:c r="G35" s="20"/>
      <x:c r="H35" s="20"/>
      <x:c r="I35" s="20"/>
      <x:c r="J35" s="20"/>
      <x:c r="K35" s="20"/>
      <x:c r="L35" s="20"/>
      <x:c r="M35" s="20"/>
      <x:c r="N35" s="20"/>
      <x:c r="O35" s="20"/>
      <x:c r="P35" s="23"/>
      <x:c r="Q35" s="20"/>
      <x:c r="R35" s="20"/>
      <x:c r="S35" s="20"/>
      <x:c r="T35" s="20"/>
      <x:c r="U35" s="23"/>
      <x:c r="V35" s="20"/>
      <x:c r="W35" s="20"/>
      <x:c r="X35" s="20"/>
      <x:c r="Y35" s="23"/>
    </x:row>
    <x:row r="36">
      <x:c r="A36" s="20"/>
      <x:c r="B36" s="20"/>
      <x:c r="C36" s="20"/>
      <x:c r="D36" s="20"/>
      <x:c r="E36" s="20"/>
      <x:c r="F36" s="20"/>
      <x:c r="G36" s="20"/>
      <x:c r="H36" s="20"/>
      <x:c r="I36" s="20"/>
      <x:c r="J36" s="20"/>
      <x:c r="K36" s="20"/>
      <x:c r="L36" s="20"/>
      <x:c r="M36" s="20"/>
      <x:c r="N36" s="20"/>
      <x:c r="O36" s="20"/>
      <x:c r="P36" s="23"/>
      <x:c r="Q36" s="20"/>
      <x:c r="R36" s="20"/>
      <x:c r="S36" s="20"/>
      <x:c r="T36" s="20"/>
      <x:c r="U36" s="23"/>
      <x:c r="V36" s="20"/>
      <x:c r="W36" s="20"/>
      <x:c r="X36" s="20"/>
      <x:c r="Y36" s="23"/>
    </x:row>
    <x:row r="37">
      <x:c r="A37" s="20"/>
      <x:c r="B37" s="20"/>
      <x:c r="C37" s="20"/>
      <x:c r="D37" s="20"/>
      <x:c r="E37" s="20"/>
      <x:c r="F37" s="20"/>
      <x:c r="G37" s="20"/>
      <x:c r="H37" s="20"/>
      <x:c r="I37" s="20"/>
      <x:c r="J37" s="20"/>
      <x:c r="K37" s="20"/>
      <x:c r="L37" s="20"/>
      <x:c r="M37" s="20"/>
      <x:c r="N37" s="20"/>
      <x:c r="O37" s="20"/>
      <x:c r="P37" s="23"/>
      <x:c r="Q37" s="20"/>
      <x:c r="R37" s="20"/>
      <x:c r="S37" s="20"/>
      <x:c r="T37" s="20"/>
      <x:c r="U37" s="23"/>
      <x:c r="V37" s="20"/>
      <x:c r="W37" s="20"/>
      <x:c r="X37" s="20"/>
      <x:c r="Y37" s="23"/>
    </x:row>
    <x:row r="38">
      <x:c r="A38" s="20"/>
      <x:c r="B38" s="20"/>
      <x:c r="C38" s="20"/>
      <x:c r="D38" s="20"/>
      <x:c r="E38" s="20"/>
      <x:c r="F38" s="20"/>
      <x:c r="G38" s="20"/>
      <x:c r="H38" s="20"/>
      <x:c r="I38" s="20"/>
      <x:c r="J38" s="20"/>
      <x:c r="K38" s="20"/>
      <x:c r="L38" s="20"/>
      <x:c r="M38" s="20"/>
      <x:c r="N38" s="20"/>
      <x:c r="O38" s="20"/>
      <x:c r="P38" s="23"/>
      <x:c r="Q38" s="20"/>
      <x:c r="R38" s="20"/>
      <x:c r="S38" s="20"/>
      <x:c r="T38" s="20"/>
      <x:c r="U38" s="23"/>
      <x:c r="V38" s="20"/>
      <x:c r="W38" s="20"/>
      <x:c r="X38" s="20"/>
      <x:c r="Y38" s="23"/>
    </x:row>
    <x:row r="39">
      <x:c r="A39" s="20"/>
      <x:c r="B39" s="20"/>
      <x:c r="C39" s="20"/>
      <x:c r="D39" s="20"/>
      <x:c r="E39" s="20"/>
      <x:c r="F39" s="20"/>
      <x:c r="G39" s="20"/>
      <x:c r="H39" s="20"/>
      <x:c r="I39" s="20"/>
      <x:c r="J39" s="20"/>
      <x:c r="K39" s="20"/>
      <x:c r="L39" s="20"/>
      <x:c r="M39" s="20"/>
      <x:c r="N39" s="20"/>
      <x:c r="O39" s="20"/>
      <x:c r="P39" s="23"/>
      <x:c r="Q39" s="20"/>
      <x:c r="R39" s="20"/>
      <x:c r="S39" s="20"/>
      <x:c r="T39" s="20"/>
      <x:c r="U39" s="23"/>
      <x:c r="V39" s="20"/>
      <x:c r="W39" s="20"/>
      <x:c r="X39" s="20"/>
      <x:c r="Y39" s="23"/>
    </x:row>
    <x:row r="40">
      <x:c r="A40" s="20"/>
      <x:c r="B40" s="20"/>
      <x:c r="C40" s="20"/>
      <x:c r="D40" s="20"/>
      <x:c r="E40" s="20"/>
      <x:c r="F40" s="20"/>
      <x:c r="G40" s="20"/>
      <x:c r="H40" s="20"/>
      <x:c r="I40" s="20"/>
      <x:c r="J40" s="20"/>
      <x:c r="K40" s="20"/>
      <x:c r="L40" s="20"/>
      <x:c r="M40" s="20"/>
      <x:c r="N40" s="20"/>
      <x:c r="O40" s="20"/>
      <x:c r="P40" s="23"/>
      <x:c r="Q40" s="20"/>
      <x:c r="R40" s="20"/>
      <x:c r="S40" s="20"/>
      <x:c r="T40" s="20"/>
      <x:c r="U40" s="23"/>
      <x:c r="V40" s="20"/>
      <x:c r="W40" s="20"/>
      <x:c r="X40" s="20"/>
      <x:c r="Y40" s="23"/>
    </x:row>
    <x:row r="41">
      <x:c r="A41" s="20"/>
      <x:c r="B41" s="20"/>
      <x:c r="C41" s="20"/>
      <x:c r="D41" s="20"/>
      <x:c r="E41" s="20"/>
      <x:c r="F41" s="20"/>
      <x:c r="G41" s="20"/>
      <x:c r="H41" s="20"/>
      <x:c r="I41" s="20"/>
      <x:c r="J41" s="20"/>
      <x:c r="K41" s="20"/>
      <x:c r="L41" s="20"/>
      <x:c r="M41" s="20"/>
      <x:c r="N41" s="20"/>
      <x:c r="O41" s="20"/>
      <x:c r="P41" s="23"/>
      <x:c r="Q41" s="20"/>
      <x:c r="R41" s="20"/>
      <x:c r="S41" s="20"/>
      <x:c r="T41" s="20"/>
      <x:c r="U41" s="23"/>
      <x:c r="V41" s="20"/>
      <x:c r="W41" s="20"/>
      <x:c r="X41" s="20"/>
      <x:c r="Y41" s="23"/>
    </x:row>
    <x:row r="42">
      <x:c r="A42" s="20"/>
      <x:c r="B42" s="20"/>
      <x:c r="C42" s="20"/>
      <x:c r="D42" s="20"/>
      <x:c r="E42" s="20"/>
      <x:c r="F42" s="20"/>
      <x:c r="G42" s="20"/>
      <x:c r="H42" s="20"/>
      <x:c r="I42" s="20"/>
      <x:c r="J42" s="20"/>
      <x:c r="K42" s="20"/>
      <x:c r="L42" s="20"/>
      <x:c r="M42" s="20"/>
      <x:c r="N42" s="20"/>
      <x:c r="O42" s="20"/>
      <x:c r="P42" s="23"/>
      <x:c r="Q42" s="20"/>
      <x:c r="R42" s="20"/>
      <x:c r="S42" s="20"/>
      <x:c r="T42" s="20"/>
      <x:c r="U42" s="23"/>
      <x:c r="V42" s="20"/>
      <x:c r="W42" s="20"/>
      <x:c r="X42" s="20"/>
      <x:c r="Y42" s="23"/>
    </x:row>
    <x:row r="43">
      <x:c r="A43" s="20"/>
      <x:c r="B43" s="20"/>
      <x:c r="C43" s="20"/>
      <x:c r="D43" s="20"/>
      <x:c r="E43" s="20"/>
      <x:c r="F43" s="20"/>
      <x:c r="G43" s="20"/>
      <x:c r="H43" s="20"/>
      <x:c r="I43" s="20"/>
      <x:c r="J43" s="20"/>
      <x:c r="K43" s="20"/>
      <x:c r="L43" s="20"/>
      <x:c r="M43" s="20"/>
      <x:c r="N43" s="20"/>
      <x:c r="O43" s="20"/>
      <x:c r="P43" s="23"/>
      <x:c r="Q43" s="20"/>
      <x:c r="R43" s="20"/>
      <x:c r="S43" s="20"/>
      <x:c r="T43" s="20"/>
      <x:c r="U43" s="23"/>
      <x:c r="V43" s="20"/>
      <x:c r="W43" s="20"/>
      <x:c r="X43" s="20"/>
      <x:c r="Y43" s="23"/>
    </x:row>
    <x:row r="44">
      <x:c r="A44" s="20"/>
      <x:c r="B44" s="20"/>
      <x:c r="C44" s="20"/>
      <x:c r="D44" s="20"/>
      <x:c r="E44" s="20"/>
      <x:c r="F44" s="20"/>
      <x:c r="G44" s="20"/>
      <x:c r="H44" s="20"/>
      <x:c r="I44" s="20"/>
      <x:c r="J44" s="20"/>
      <x:c r="K44" s="20"/>
      <x:c r="L44" s="20"/>
      <x:c r="M44" s="20"/>
      <x:c r="N44" s="20"/>
      <x:c r="O44" s="20"/>
      <x:c r="P44" s="23"/>
      <x:c r="Q44" s="20"/>
      <x:c r="R44" s="20"/>
      <x:c r="S44" s="20"/>
      <x:c r="T44" s="20"/>
      <x:c r="U44" s="23"/>
      <x:c r="V44" s="20"/>
      <x:c r="W44" s="20"/>
      <x:c r="X44" s="20"/>
      <x:c r="Y44" s="23"/>
    </x:row>
    <x:row r="45">
      <x:c r="A45" s="20"/>
      <x:c r="B45" s="20"/>
      <x:c r="C45" s="20"/>
      <x:c r="D45" s="20"/>
      <x:c r="E45" s="20"/>
      <x:c r="F45" s="20"/>
      <x:c r="G45" s="20"/>
      <x:c r="H45" s="20"/>
      <x:c r="I45" s="20"/>
      <x:c r="J45" s="20"/>
      <x:c r="K45" s="20"/>
      <x:c r="L45" s="20"/>
      <x:c r="M45" s="20"/>
      <x:c r="N45" s="20"/>
      <x:c r="O45" s="20"/>
      <x:c r="P45" s="23"/>
      <x:c r="Q45" s="20"/>
      <x:c r="R45" s="20"/>
      <x:c r="S45" s="20"/>
      <x:c r="T45" s="20"/>
      <x:c r="U45" s="23"/>
      <x:c r="V45" s="20"/>
      <x:c r="W45" s="20"/>
      <x:c r="X45" s="20"/>
      <x:c r="Y45" s="23"/>
    </x:row>
    <x:row r="46">
      <x:c r="A46" s="20"/>
      <x:c r="B46" s="20"/>
      <x:c r="C46" s="20"/>
      <x:c r="D46" s="20"/>
      <x:c r="E46" s="20"/>
      <x:c r="F46" s="20"/>
      <x:c r="G46" s="20"/>
      <x:c r="H46" s="20"/>
      <x:c r="I46" s="20"/>
      <x:c r="J46" s="20"/>
      <x:c r="K46" s="20"/>
      <x:c r="L46" s="20"/>
      <x:c r="M46" s="20"/>
      <x:c r="N46" s="20"/>
      <x:c r="O46" s="20"/>
      <x:c r="P46" s="23"/>
      <x:c r="Q46" s="20"/>
      <x:c r="R46" s="20"/>
      <x:c r="S46" s="20"/>
      <x:c r="T46" s="20"/>
      <x:c r="U46" s="23"/>
      <x:c r="V46" s="20"/>
      <x:c r="W46" s="20"/>
      <x:c r="X46" s="20"/>
      <x:c r="Y46" s="23"/>
    </x:row>
    <x:row r="47">
      <x:c r="A47" s="20"/>
      <x:c r="B47" s="20"/>
      <x:c r="C47" s="20"/>
      <x:c r="D47" s="20"/>
      <x:c r="E47" s="20"/>
      <x:c r="F47" s="20"/>
      <x:c r="G47" s="20"/>
      <x:c r="H47" s="20"/>
      <x:c r="I47" s="20"/>
      <x:c r="J47" s="20"/>
      <x:c r="K47" s="20"/>
      <x:c r="L47" s="20"/>
      <x:c r="M47" s="20"/>
      <x:c r="N47" s="20"/>
      <x:c r="O47" s="20"/>
      <x:c r="P47" s="23"/>
      <x:c r="Q47" s="20"/>
      <x:c r="R47" s="20"/>
      <x:c r="S47" s="20"/>
      <x:c r="T47" s="20"/>
      <x:c r="U47" s="23"/>
      <x:c r="V47" s="20"/>
      <x:c r="W47" s="20"/>
      <x:c r="X47" s="20"/>
      <x:c r="Y47" s="23"/>
    </x:row>
    <x:row r="48">
      <x:c r="A48" s="20"/>
      <x:c r="B48" s="20"/>
      <x:c r="C48" s="20"/>
      <x:c r="D48" s="20"/>
      <x:c r="E48" s="20"/>
      <x:c r="F48" s="20"/>
      <x:c r="G48" s="20"/>
      <x:c r="H48" s="20"/>
      <x:c r="I48" s="20"/>
      <x:c r="J48" s="20"/>
      <x:c r="K48" s="20"/>
      <x:c r="L48" s="20"/>
      <x:c r="M48" s="20"/>
      <x:c r="N48" s="20"/>
      <x:c r="O48" s="20"/>
      <x:c r="P48" s="23"/>
      <x:c r="Q48" s="20"/>
      <x:c r="R48" s="20"/>
      <x:c r="S48" s="20"/>
      <x:c r="T48" s="20"/>
      <x:c r="U48" s="23"/>
      <x:c r="V48" s="20"/>
      <x:c r="W48" s="20"/>
      <x:c r="X48" s="20"/>
      <x:c r="Y48" s="23"/>
    </x:row>
    <x:row r="49">
      <x:c r="A49" s="20"/>
      <x:c r="B49" s="20"/>
      <x:c r="C49" s="20"/>
      <x:c r="D49" s="20"/>
      <x:c r="E49" s="20"/>
      <x:c r="F49" s="20"/>
      <x:c r="G49" s="20"/>
      <x:c r="H49" s="20"/>
      <x:c r="I49" s="20"/>
      <x:c r="J49" s="20"/>
      <x:c r="K49" s="20"/>
      <x:c r="L49" s="20"/>
      <x:c r="M49" s="20"/>
      <x:c r="N49" s="20"/>
      <x:c r="O49" s="20"/>
      <x:c r="P49" s="23"/>
      <x:c r="Q49" s="20"/>
      <x:c r="R49" s="20"/>
      <x:c r="S49" s="20"/>
      <x:c r="T49" s="20"/>
      <x:c r="U49" s="23"/>
      <x:c r="V49" s="20"/>
      <x:c r="W49" s="20"/>
      <x:c r="X49" s="20"/>
      <x:c r="Y49" s="23"/>
    </x:row>
    <x:row r="50">
      <x:c r="A50" s="20"/>
      <x:c r="B50" s="20"/>
      <x:c r="C50" s="20"/>
      <x:c r="D50" s="20"/>
      <x:c r="E50" s="20"/>
      <x:c r="F50" s="20"/>
      <x:c r="G50" s="20"/>
      <x:c r="H50" s="20"/>
      <x:c r="I50" s="20"/>
      <x:c r="J50" s="20"/>
      <x:c r="K50" s="20"/>
      <x:c r="L50" s="20"/>
      <x:c r="M50" s="20"/>
      <x:c r="N50" s="20"/>
      <x:c r="O50" s="20"/>
      <x:c r="P50" s="23"/>
      <x:c r="Q50" s="20"/>
      <x:c r="R50" s="20"/>
      <x:c r="S50" s="20"/>
      <x:c r="T50" s="20"/>
      <x:c r="U50" s="23"/>
      <x:c r="V50" s="20"/>
      <x:c r="W50" s="20"/>
      <x:c r="X50" s="20"/>
      <x:c r="Y50" s="23"/>
    </x:row>
    <x:row r="51">
      <x:c r="A51" s="20"/>
      <x:c r="B51" s="20"/>
      <x:c r="C51" s="20"/>
      <x:c r="D51" s="20"/>
      <x:c r="E51" s="20"/>
      <x:c r="F51" s="20"/>
      <x:c r="G51" s="20"/>
      <x:c r="H51" s="20"/>
      <x:c r="I51" s="20"/>
      <x:c r="J51" s="20"/>
      <x:c r="K51" s="20"/>
      <x:c r="L51" s="20"/>
      <x:c r="M51" s="20"/>
      <x:c r="N51" s="20"/>
      <x:c r="O51" s="20"/>
      <x:c r="P51" s="23"/>
      <x:c r="Q51" s="20"/>
      <x:c r="R51" s="20"/>
      <x:c r="S51" s="20"/>
      <x:c r="T51" s="20"/>
      <x:c r="U51" s="23"/>
      <x:c r="V51" s="20"/>
      <x:c r="W51" s="20"/>
      <x:c r="X51" s="20"/>
      <x:c r="Y51" s="23"/>
    </x:row>
    <x:row r="52">
      <x:c r="A52" s="20"/>
      <x:c r="B52" s="20"/>
      <x:c r="C52" s="20"/>
      <x:c r="D52" s="20"/>
      <x:c r="E52" s="20"/>
      <x:c r="F52" s="20"/>
      <x:c r="G52" s="20"/>
      <x:c r="H52" s="20"/>
      <x:c r="I52" s="20"/>
      <x:c r="J52" s="20"/>
      <x:c r="K52" s="20"/>
      <x:c r="L52" s="20"/>
      <x:c r="M52" s="20"/>
      <x:c r="N52" s="20"/>
      <x:c r="O52" s="20"/>
      <x:c r="P52" s="23"/>
      <x:c r="Q52" s="20"/>
      <x:c r="R52" s="20"/>
      <x:c r="S52" s="20"/>
      <x:c r="T52" s="20"/>
      <x:c r="U52" s="23"/>
      <x:c r="V52" s="20"/>
      <x:c r="W52" s="20"/>
      <x:c r="X52" s="20"/>
      <x:c r="Y52" s="23"/>
    </x:row>
    <x:row r="53">
      <x:c r="A53" s="20"/>
      <x:c r="B53" s="20"/>
      <x:c r="C53" s="20"/>
      <x:c r="D53" s="20"/>
      <x:c r="E53" s="20"/>
      <x:c r="F53" s="20"/>
      <x:c r="G53" s="20"/>
      <x:c r="H53" s="20"/>
      <x:c r="I53" s="20"/>
      <x:c r="J53" s="20"/>
      <x:c r="K53" s="20"/>
      <x:c r="L53" s="20"/>
      <x:c r="M53" s="20"/>
      <x:c r="N53" s="20"/>
      <x:c r="O53" s="20"/>
      <x:c r="P53" s="23"/>
      <x:c r="Q53" s="20"/>
      <x:c r="R53" s="20"/>
      <x:c r="S53" s="20"/>
      <x:c r="T53" s="20"/>
      <x:c r="U53" s="23"/>
      <x:c r="V53" s="20"/>
      <x:c r="W53" s="20"/>
      <x:c r="X53" s="20"/>
      <x:c r="Y53" s="23"/>
    </x:row>
    <x:row r="54">
      <x:c r="A54" s="20"/>
      <x:c r="B54" s="20"/>
      <x:c r="C54" s="20"/>
      <x:c r="D54" s="20"/>
      <x:c r="E54" s="20"/>
      <x:c r="F54" s="20"/>
      <x:c r="G54" s="20"/>
      <x:c r="H54" s="20"/>
      <x:c r="I54" s="20"/>
      <x:c r="J54" s="20"/>
      <x:c r="K54" s="20"/>
      <x:c r="L54" s="20"/>
      <x:c r="M54" s="20"/>
      <x:c r="N54" s="20"/>
      <x:c r="O54" s="20"/>
      <x:c r="P54" s="23"/>
      <x:c r="Q54" s="20"/>
      <x:c r="R54" s="20"/>
      <x:c r="S54" s="20"/>
      <x:c r="T54" s="20"/>
      <x:c r="U54" s="23"/>
      <x:c r="V54" s="20"/>
      <x:c r="W54" s="20"/>
      <x:c r="X54" s="20"/>
      <x:c r="Y54" s="23"/>
    </x:row>
    <x:row r="55">
      <x:c r="A55" s="20"/>
      <x:c r="B55" s="20"/>
      <x:c r="C55" s="20"/>
      <x:c r="D55" s="20"/>
      <x:c r="E55" s="20"/>
      <x:c r="F55" s="20"/>
      <x:c r="G55" s="20"/>
      <x:c r="H55" s="20"/>
      <x:c r="I55" s="20"/>
      <x:c r="J55" s="20"/>
      <x:c r="K55" s="20"/>
      <x:c r="L55" s="20"/>
      <x:c r="M55" s="20"/>
      <x:c r="N55" s="20"/>
      <x:c r="O55" s="20"/>
      <x:c r="P55" s="23"/>
      <x:c r="Q55" s="20"/>
      <x:c r="R55" s="20"/>
      <x:c r="S55" s="20"/>
      <x:c r="T55" s="20"/>
      <x:c r="U55" s="23"/>
      <x:c r="V55" s="20"/>
      <x:c r="W55" s="20"/>
      <x:c r="X55" s="20"/>
      <x:c r="Y55" s="23"/>
    </x:row>
    <x:row r="56">
      <x:c r="A56" s="20"/>
      <x:c r="B56" s="20"/>
      <x:c r="C56" s="20"/>
      <x:c r="D56" s="20"/>
      <x:c r="E56" s="20"/>
      <x:c r="F56" s="20"/>
      <x:c r="G56" s="20"/>
      <x:c r="H56" s="20"/>
      <x:c r="I56" s="20"/>
      <x:c r="J56" s="20"/>
      <x:c r="K56" s="20"/>
      <x:c r="L56" s="20"/>
      <x:c r="M56" s="20"/>
      <x:c r="N56" s="20"/>
      <x:c r="O56" s="20"/>
      <x:c r="P56" s="23"/>
      <x:c r="Q56" s="20"/>
      <x:c r="R56" s="20"/>
      <x:c r="S56" s="20"/>
      <x:c r="T56" s="20"/>
      <x:c r="U56" s="23"/>
      <x:c r="V56" s="20"/>
      <x:c r="W56" s="20"/>
      <x:c r="X56" s="20"/>
      <x:c r="Y56" s="23"/>
    </x:row>
    <x:row r="57">
      <x:c r="A57" s="20"/>
      <x:c r="B57" s="20"/>
      <x:c r="C57" s="20"/>
      <x:c r="D57" s="20"/>
      <x:c r="E57" s="20"/>
      <x:c r="F57" s="20"/>
      <x:c r="G57" s="20"/>
      <x:c r="H57" s="20"/>
      <x:c r="I57" s="20"/>
      <x:c r="J57" s="20"/>
      <x:c r="K57" s="20"/>
      <x:c r="L57" s="20"/>
      <x:c r="M57" s="20"/>
      <x:c r="N57" s="20"/>
      <x:c r="O57" s="20"/>
      <x:c r="P57" s="23"/>
      <x:c r="Q57" s="20"/>
      <x:c r="R57" s="20"/>
      <x:c r="S57" s="20"/>
      <x:c r="T57" s="20"/>
      <x:c r="U57" s="23"/>
      <x:c r="V57" s="20"/>
      <x:c r="W57" s="20"/>
      <x:c r="X57" s="20"/>
      <x:c r="Y57" s="23"/>
    </x:row>
    <x:row r="58">
      <x:c r="A58" s="20"/>
      <x:c r="B58" s="20"/>
      <x:c r="C58" s="20"/>
      <x:c r="D58" s="20"/>
      <x:c r="E58" s="20"/>
      <x:c r="F58" s="20"/>
      <x:c r="G58" s="20"/>
      <x:c r="H58" s="20"/>
      <x:c r="I58" s="20"/>
      <x:c r="J58" s="20"/>
      <x:c r="K58" s="20"/>
      <x:c r="L58" s="20"/>
      <x:c r="M58" s="20"/>
      <x:c r="N58" s="20"/>
      <x:c r="O58" s="20"/>
      <x:c r="P58" s="23"/>
      <x:c r="Q58" s="20"/>
      <x:c r="R58" s="20"/>
      <x:c r="S58" s="20"/>
      <x:c r="T58" s="20"/>
      <x:c r="U58" s="23"/>
      <x:c r="V58" s="20"/>
      <x:c r="W58" s="20"/>
      <x:c r="X58" s="20"/>
      <x:c r="Y58" s="23"/>
    </x:row>
    <x:row r="59">
      <x:c r="A59" s="20"/>
      <x:c r="B59" s="20"/>
      <x:c r="C59" s="20"/>
      <x:c r="D59" s="20"/>
      <x:c r="E59" s="20"/>
      <x:c r="F59" s="20"/>
      <x:c r="G59" s="20"/>
      <x:c r="H59" s="20"/>
      <x:c r="I59" s="20"/>
      <x:c r="J59" s="20"/>
      <x:c r="K59" s="20"/>
      <x:c r="L59" s="20"/>
      <x:c r="M59" s="20"/>
      <x:c r="N59" s="20"/>
      <x:c r="O59" s="20"/>
      <x:c r="P59" s="23"/>
      <x:c r="Q59" s="20"/>
      <x:c r="R59" s="20"/>
      <x:c r="S59" s="20"/>
      <x:c r="T59" s="20"/>
      <x:c r="U59" s="23"/>
      <x:c r="V59" s="20"/>
      <x:c r="W59" s="20"/>
      <x:c r="X59" s="20"/>
      <x:c r="Y59" s="23"/>
    </x:row>
    <x:row r="60">
      <x:c r="A60" s="20"/>
      <x:c r="B60" s="20"/>
      <x:c r="C60" s="20"/>
      <x:c r="D60" s="20"/>
      <x:c r="E60" s="20"/>
      <x:c r="F60" s="20"/>
      <x:c r="G60" s="20"/>
      <x:c r="H60" s="20"/>
      <x:c r="I60" s="20"/>
      <x:c r="J60" s="20"/>
      <x:c r="K60" s="20"/>
      <x:c r="L60" s="20"/>
      <x:c r="M60" s="20"/>
      <x:c r="N60" s="20"/>
      <x:c r="O60" s="20"/>
      <x:c r="P60" s="23"/>
      <x:c r="Q60" s="20"/>
      <x:c r="R60" s="20"/>
      <x:c r="S60" s="20"/>
      <x:c r="T60" s="20"/>
      <x:c r="U60" s="23"/>
      <x:c r="V60" s="20"/>
      <x:c r="W60" s="20"/>
      <x:c r="X60" s="20"/>
      <x:c r="Y60" s="23"/>
    </x:row>
    <x:row r="61">
      <x:c r="A61" s="20"/>
      <x:c r="B61" s="20"/>
      <x:c r="C61" s="20"/>
      <x:c r="D61" s="20"/>
      <x:c r="E61" s="20"/>
      <x:c r="F61" s="20"/>
      <x:c r="G61" s="20"/>
      <x:c r="H61" s="20"/>
      <x:c r="I61" s="20"/>
      <x:c r="J61" s="20"/>
      <x:c r="K61" s="20"/>
      <x:c r="L61" s="20"/>
      <x:c r="M61" s="20"/>
      <x:c r="N61" s="20"/>
      <x:c r="O61" s="20"/>
      <x:c r="P61" s="23"/>
      <x:c r="Q61" s="20"/>
      <x:c r="R61" s="20"/>
      <x:c r="S61" s="20"/>
      <x:c r="T61" s="20"/>
      <x:c r="U61" s="23"/>
      <x:c r="V61" s="20"/>
      <x:c r="W61" s="20"/>
      <x:c r="X61" s="20"/>
      <x:c r="Y61" s="23"/>
    </x:row>
    <x:row r="62">
      <x:c r="A62" s="20"/>
      <x:c r="B62" s="20"/>
      <x:c r="C62" s="20"/>
      <x:c r="D62" s="20"/>
      <x:c r="E62" s="20"/>
      <x:c r="F62" s="20"/>
      <x:c r="G62" s="20"/>
      <x:c r="H62" s="20"/>
      <x:c r="I62" s="20"/>
      <x:c r="J62" s="20"/>
      <x:c r="K62" s="20"/>
      <x:c r="L62" s="20"/>
      <x:c r="M62" s="20"/>
      <x:c r="N62" s="20"/>
      <x:c r="O62" s="20"/>
      <x:c r="P62" s="23"/>
      <x:c r="Q62" s="20"/>
      <x:c r="R62" s="20"/>
      <x:c r="S62" s="20"/>
      <x:c r="T62" s="20"/>
      <x:c r="U62" s="23"/>
      <x:c r="V62" s="20"/>
      <x:c r="W62" s="20"/>
      <x:c r="X62" s="20"/>
      <x:c r="Y62" s="23"/>
    </x:row>
    <x:row r="63">
      <x:c r="A63" s="20"/>
      <x:c r="B63" s="20"/>
      <x:c r="C63" s="20"/>
      <x:c r="D63" s="20"/>
      <x:c r="E63" s="20"/>
      <x:c r="F63" s="20"/>
      <x:c r="G63" s="20"/>
      <x:c r="H63" s="20"/>
      <x:c r="I63" s="20"/>
      <x:c r="J63" s="20"/>
      <x:c r="K63" s="20"/>
      <x:c r="L63" s="20"/>
      <x:c r="M63" s="20"/>
      <x:c r="N63" s="20"/>
      <x:c r="O63" s="20"/>
      <x:c r="P63" s="23"/>
      <x:c r="Q63" s="20"/>
      <x:c r="R63" s="20"/>
      <x:c r="S63" s="20"/>
      <x:c r="T63" s="20"/>
      <x:c r="U63" s="23"/>
      <x:c r="V63" s="20"/>
      <x:c r="W63" s="20"/>
      <x:c r="X63" s="20"/>
      <x:c r="Y63" s="23"/>
    </x:row>
    <x:row r="64">
      <x:c r="A64" s="20"/>
      <x:c r="B64" s="20"/>
      <x:c r="C64" s="20"/>
      <x:c r="D64" s="20"/>
      <x:c r="E64" s="20"/>
      <x:c r="F64" s="20"/>
      <x:c r="G64" s="20"/>
      <x:c r="H64" s="20"/>
      <x:c r="I64" s="20"/>
      <x:c r="J64" s="20"/>
      <x:c r="K64" s="20"/>
      <x:c r="L64" s="20"/>
      <x:c r="M64" s="20"/>
      <x:c r="N64" s="20"/>
      <x:c r="O64" s="20"/>
      <x:c r="P64" s="23"/>
      <x:c r="Q64" s="20"/>
      <x:c r="R64" s="20"/>
      <x:c r="S64" s="20"/>
      <x:c r="T64" s="20"/>
      <x:c r="U64" s="23"/>
      <x:c r="V64" s="20"/>
      <x:c r="W64" s="20"/>
      <x:c r="X64" s="20"/>
      <x:c r="Y64" s="23"/>
    </x:row>
    <x:row r="65">
      <x:c r="A65" s="20"/>
      <x:c r="B65" s="20"/>
      <x:c r="C65" s="20"/>
      <x:c r="D65" s="20"/>
      <x:c r="E65" s="20"/>
      <x:c r="F65" s="20"/>
      <x:c r="G65" s="20"/>
      <x:c r="H65" s="20"/>
      <x:c r="I65" s="20"/>
      <x:c r="J65" s="20"/>
      <x:c r="K65" s="20"/>
      <x:c r="L65" s="20"/>
      <x:c r="M65" s="20"/>
      <x:c r="N65" s="20"/>
      <x:c r="O65" s="20"/>
      <x:c r="P65" s="23"/>
      <x:c r="Q65" s="20"/>
      <x:c r="R65" s="20"/>
      <x:c r="S65" s="20"/>
      <x:c r="T65" s="20"/>
      <x:c r="U65" s="23"/>
      <x:c r="V65" s="20"/>
      <x:c r="W65" s="20"/>
      <x:c r="X65" s="20"/>
      <x:c r="Y65" s="23"/>
    </x:row>
    <x:row r="66">
      <x:c r="A66" s="20"/>
      <x:c r="B66" s="20"/>
      <x:c r="C66" s="20"/>
      <x:c r="D66" s="20"/>
      <x:c r="E66" s="20"/>
      <x:c r="F66" s="20"/>
      <x:c r="G66" s="20"/>
      <x:c r="H66" s="20"/>
      <x:c r="I66" s="20"/>
      <x:c r="J66" s="20"/>
      <x:c r="K66" s="20"/>
      <x:c r="L66" s="20"/>
      <x:c r="M66" s="20"/>
      <x:c r="N66" s="20"/>
      <x:c r="O66" s="20"/>
      <x:c r="P66" s="23"/>
      <x:c r="Q66" s="20"/>
      <x:c r="R66" s="20"/>
      <x:c r="S66" s="20"/>
      <x:c r="T66" s="20"/>
      <x:c r="U66" s="23"/>
      <x:c r="V66" s="20"/>
      <x:c r="W66" s="20"/>
      <x:c r="X66" s="20"/>
      <x:c r="Y66" s="23"/>
    </x:row>
    <x:row r="67">
      <x:c r="A67" s="20"/>
      <x:c r="B67" s="20"/>
      <x:c r="C67" s="20"/>
      <x:c r="D67" s="20"/>
      <x:c r="E67" s="20"/>
      <x:c r="F67" s="20"/>
      <x:c r="G67" s="20"/>
      <x:c r="H67" s="20"/>
      <x:c r="I67" s="20"/>
      <x:c r="J67" s="20"/>
      <x:c r="K67" s="20"/>
      <x:c r="L67" s="20"/>
      <x:c r="M67" s="20"/>
      <x:c r="N67" s="20"/>
      <x:c r="O67" s="20"/>
      <x:c r="P67" s="23"/>
      <x:c r="Q67" s="20"/>
      <x:c r="R67" s="20"/>
      <x:c r="S67" s="20"/>
      <x:c r="T67" s="20"/>
      <x:c r="U67" s="23"/>
      <x:c r="V67" s="20"/>
      <x:c r="W67" s="20"/>
      <x:c r="X67" s="20"/>
      <x:c r="Y67" s="23"/>
    </x:row>
    <x:row r="68">
      <x:c r="A68" s="20"/>
      <x:c r="B68" s="20"/>
      <x:c r="C68" s="20"/>
      <x:c r="D68" s="20"/>
      <x:c r="E68" s="20"/>
      <x:c r="F68" s="20"/>
      <x:c r="G68" s="20"/>
      <x:c r="H68" s="20"/>
      <x:c r="I68" s="20"/>
      <x:c r="J68" s="20"/>
      <x:c r="K68" s="20"/>
      <x:c r="L68" s="20"/>
      <x:c r="M68" s="20"/>
      <x:c r="N68" s="20"/>
      <x:c r="O68" s="20"/>
      <x:c r="P68" s="23"/>
      <x:c r="Q68" s="20"/>
      <x:c r="R68" s="20"/>
      <x:c r="S68" s="20"/>
      <x:c r="T68" s="20"/>
      <x:c r="U68" s="23"/>
      <x:c r="V68" s="20"/>
      <x:c r="W68" s="20"/>
      <x:c r="X68" s="20"/>
      <x:c r="Y68" s="23"/>
    </x:row>
    <x:row r="69">
      <x:c r="A69" s="20"/>
      <x:c r="B69" s="20"/>
      <x:c r="C69" s="20"/>
      <x:c r="D69" s="20"/>
      <x:c r="E69" s="20"/>
      <x:c r="F69" s="20"/>
      <x:c r="G69" s="20"/>
      <x:c r="H69" s="20"/>
      <x:c r="I69" s="20"/>
      <x:c r="J69" s="20"/>
      <x:c r="K69" s="20"/>
      <x:c r="L69" s="20"/>
      <x:c r="M69" s="20"/>
      <x:c r="N69" s="20"/>
      <x:c r="O69" s="20"/>
      <x:c r="P69" s="23"/>
      <x:c r="Q69" s="20"/>
      <x:c r="R69" s="20"/>
      <x:c r="S69" s="20"/>
      <x:c r="T69" s="20"/>
      <x:c r="U69" s="23"/>
      <x:c r="V69" s="20"/>
      <x:c r="W69" s="20"/>
      <x:c r="X69" s="20"/>
      <x:c r="Y69" s="23"/>
    </x:row>
    <x:row r="70">
      <x:c r="A70" s="20"/>
      <x:c r="B70" s="20"/>
      <x:c r="C70" s="20"/>
      <x:c r="D70" s="20"/>
      <x:c r="E70" s="20"/>
      <x:c r="F70" s="20"/>
      <x:c r="G70" s="20"/>
      <x:c r="H70" s="20"/>
      <x:c r="I70" s="20"/>
      <x:c r="J70" s="20"/>
      <x:c r="K70" s="20"/>
      <x:c r="L70" s="20"/>
      <x:c r="M70" s="20"/>
      <x:c r="N70" s="20"/>
      <x:c r="O70" s="20"/>
      <x:c r="P70" s="23"/>
      <x:c r="Q70" s="20"/>
      <x:c r="R70" s="20"/>
      <x:c r="S70" s="20"/>
      <x:c r="T70" s="20"/>
      <x:c r="U70" s="23"/>
      <x:c r="V70" s="20"/>
      <x:c r="W70" s="20"/>
      <x:c r="X70" s="20"/>
      <x:c r="Y70" s="23"/>
    </x:row>
    <x:row r="71">
      <x:c r="A71" s="20"/>
      <x:c r="B71" s="20"/>
      <x:c r="C71" s="20"/>
      <x:c r="D71" s="20"/>
      <x:c r="E71" s="20"/>
      <x:c r="F71" s="20"/>
      <x:c r="G71" s="20"/>
      <x:c r="H71" s="20"/>
      <x:c r="I71" s="20"/>
      <x:c r="J71" s="20"/>
      <x:c r="K71" s="20"/>
      <x:c r="L71" s="20"/>
      <x:c r="M71" s="20"/>
      <x:c r="N71" s="20"/>
      <x:c r="O71" s="20"/>
      <x:c r="P71" s="23"/>
      <x:c r="Q71" s="20"/>
      <x:c r="R71" s="20"/>
      <x:c r="S71" s="20"/>
      <x:c r="T71" s="20"/>
      <x:c r="U71" s="23"/>
      <x:c r="V71" s="20"/>
      <x:c r="W71" s="20"/>
      <x:c r="X71" s="20"/>
      <x:c r="Y71" s="23"/>
    </x:row>
    <x:row r="72">
      <x:c r="A72" s="20"/>
      <x:c r="B72" s="20"/>
      <x:c r="C72" s="20"/>
      <x:c r="D72" s="20"/>
      <x:c r="E72" s="20"/>
      <x:c r="F72" s="20"/>
      <x:c r="G72" s="20"/>
      <x:c r="H72" s="20"/>
      <x:c r="I72" s="20"/>
      <x:c r="J72" s="20"/>
      <x:c r="K72" s="20"/>
      <x:c r="L72" s="20"/>
      <x:c r="M72" s="20"/>
      <x:c r="N72" s="20"/>
      <x:c r="O72" s="20"/>
      <x:c r="P72" s="23"/>
      <x:c r="Q72" s="20"/>
      <x:c r="R72" s="20"/>
      <x:c r="S72" s="20"/>
      <x:c r="T72" s="20"/>
      <x:c r="U72" s="23"/>
      <x:c r="V72" s="20"/>
      <x:c r="W72" s="20"/>
      <x:c r="X72" s="20"/>
      <x:c r="Y72" s="23"/>
    </x:row>
    <x:row r="73">
      <x:c r="A73" s="20"/>
      <x:c r="B73" s="20"/>
      <x:c r="C73" s="20"/>
      <x:c r="D73" s="20"/>
      <x:c r="E73" s="20"/>
      <x:c r="F73" s="20"/>
      <x:c r="G73" s="20"/>
      <x:c r="H73" s="20"/>
      <x:c r="I73" s="20"/>
      <x:c r="J73" s="20"/>
      <x:c r="K73" s="20"/>
      <x:c r="L73" s="20"/>
      <x:c r="M73" s="20"/>
      <x:c r="N73" s="20"/>
      <x:c r="O73" s="20"/>
      <x:c r="P73" s="23"/>
      <x:c r="Q73" s="20"/>
      <x:c r="R73" s="20"/>
      <x:c r="S73" s="20"/>
      <x:c r="T73" s="20"/>
      <x:c r="U73" s="23"/>
      <x:c r="V73" s="20"/>
      <x:c r="W73" s="20"/>
      <x:c r="X73" s="20"/>
      <x:c r="Y73" s="23"/>
    </x:row>
    <x:row r="74">
      <x:c r="A74" s="20"/>
      <x:c r="B74" s="20"/>
      <x:c r="C74" s="20"/>
      <x:c r="D74" s="20"/>
      <x:c r="E74" s="20"/>
      <x:c r="F74" s="20"/>
      <x:c r="G74" s="20"/>
      <x:c r="H74" s="20"/>
      <x:c r="I74" s="20"/>
      <x:c r="J74" s="20"/>
      <x:c r="K74" s="20"/>
      <x:c r="L74" s="20"/>
      <x:c r="M74" s="20"/>
      <x:c r="N74" s="20"/>
      <x:c r="O74" s="20"/>
      <x:c r="P74" s="23"/>
      <x:c r="Q74" s="20"/>
      <x:c r="R74" s="20"/>
      <x:c r="S74" s="20"/>
      <x:c r="T74" s="20"/>
      <x:c r="U74" s="23"/>
      <x:c r="V74" s="20"/>
      <x:c r="W74" s="20"/>
      <x:c r="X74" s="20"/>
      <x:c r="Y74" s="23"/>
    </x:row>
    <x:row r="75">
      <x:c r="A75" s="20"/>
      <x:c r="B75" s="20"/>
      <x:c r="C75" s="20"/>
      <x:c r="D75" s="20"/>
      <x:c r="E75" s="20"/>
      <x:c r="F75" s="20"/>
      <x:c r="G75" s="20"/>
      <x:c r="H75" s="20"/>
      <x:c r="I75" s="20"/>
      <x:c r="J75" s="20"/>
      <x:c r="K75" s="20"/>
      <x:c r="L75" s="20"/>
      <x:c r="M75" s="20"/>
      <x:c r="N75" s="20"/>
      <x:c r="O75" s="20"/>
      <x:c r="P75" s="23"/>
      <x:c r="Q75" s="20"/>
      <x:c r="R75" s="20"/>
      <x:c r="S75" s="20"/>
      <x:c r="T75" s="20"/>
      <x:c r="U75" s="23"/>
      <x:c r="V75" s="20"/>
      <x:c r="W75" s="20"/>
      <x:c r="X75" s="20"/>
      <x:c r="Y75" s="23"/>
    </x:row>
    <x:row r="76">
      <x:c r="A76" s="20"/>
      <x:c r="B76" s="20"/>
      <x:c r="C76" s="20"/>
      <x:c r="D76" s="20"/>
      <x:c r="E76" s="20"/>
      <x:c r="F76" s="20"/>
      <x:c r="G76" s="20"/>
      <x:c r="H76" s="20"/>
      <x:c r="I76" s="20"/>
      <x:c r="J76" s="20"/>
      <x:c r="K76" s="20"/>
      <x:c r="L76" s="20"/>
      <x:c r="M76" s="20"/>
      <x:c r="N76" s="20"/>
      <x:c r="O76" s="20"/>
      <x:c r="P76" s="23"/>
      <x:c r="Q76" s="20"/>
      <x:c r="R76" s="20"/>
      <x:c r="S76" s="20"/>
      <x:c r="T76" s="20"/>
      <x:c r="U76" s="23"/>
      <x:c r="V76" s="20"/>
      <x:c r="W76" s="20"/>
      <x:c r="X76" s="20"/>
      <x:c r="Y76" s="23"/>
    </x:row>
    <x:row r="77">
      <x:c r="A77" s="20"/>
      <x:c r="B77" s="20"/>
      <x:c r="C77" s="20"/>
      <x:c r="D77" s="20"/>
      <x:c r="E77" s="20"/>
      <x:c r="F77" s="20"/>
      <x:c r="G77" s="20"/>
      <x:c r="H77" s="20"/>
      <x:c r="I77" s="20"/>
      <x:c r="J77" s="20"/>
      <x:c r="K77" s="20"/>
      <x:c r="L77" s="20"/>
      <x:c r="M77" s="20"/>
      <x:c r="N77" s="20"/>
      <x:c r="O77" s="20"/>
      <x:c r="P77" s="23"/>
      <x:c r="Q77" s="20"/>
      <x:c r="R77" s="20"/>
      <x:c r="S77" s="20"/>
      <x:c r="T77" s="20"/>
      <x:c r="U77" s="23"/>
      <x:c r="V77" s="20"/>
      <x:c r="W77" s="20"/>
      <x:c r="X77" s="20"/>
      <x:c r="Y77" s="23"/>
    </x:row>
    <x:row r="78">
      <x:c r="A78" s="20"/>
      <x:c r="B78" s="20"/>
      <x:c r="C78" s="20"/>
      <x:c r="D78" s="20"/>
      <x:c r="E78" s="20"/>
      <x:c r="F78" s="20"/>
      <x:c r="G78" s="20"/>
      <x:c r="H78" s="20"/>
      <x:c r="I78" s="20"/>
      <x:c r="J78" s="20"/>
      <x:c r="K78" s="20"/>
      <x:c r="L78" s="20"/>
      <x:c r="M78" s="20"/>
      <x:c r="N78" s="20"/>
      <x:c r="O78" s="20"/>
      <x:c r="P78" s="23"/>
      <x:c r="Q78" s="20"/>
      <x:c r="R78" s="20"/>
      <x:c r="S78" s="20"/>
      <x:c r="T78" s="20"/>
      <x:c r="U78" s="23"/>
      <x:c r="V78" s="20"/>
      <x:c r="W78" s="20"/>
      <x:c r="X78" s="20"/>
      <x:c r="Y78" s="23"/>
    </x:row>
    <x:row r="79">
      <x:c r="A79" s="20"/>
      <x:c r="B79" s="20"/>
      <x:c r="C79" s="20"/>
      <x:c r="D79" s="20"/>
      <x:c r="E79" s="20"/>
      <x:c r="F79" s="20"/>
      <x:c r="G79" s="20"/>
      <x:c r="H79" s="20"/>
      <x:c r="I79" s="20"/>
      <x:c r="J79" s="20"/>
      <x:c r="K79" s="20"/>
      <x:c r="L79" s="20"/>
      <x:c r="M79" s="20"/>
      <x:c r="N79" s="20"/>
      <x:c r="O79" s="20"/>
      <x:c r="P79" s="23"/>
      <x:c r="Q79" s="20"/>
      <x:c r="R79" s="20"/>
      <x:c r="S79" s="20"/>
      <x:c r="T79" s="20"/>
      <x:c r="U79" s="23"/>
      <x:c r="V79" s="20"/>
      <x:c r="W79" s="20"/>
      <x:c r="X79" s="20"/>
      <x:c r="Y79" s="23"/>
    </x:row>
    <x:row r="80">
      <x:c r="A80" s="20"/>
      <x:c r="B80" s="20"/>
      <x:c r="C80" s="20"/>
      <x:c r="D80" s="20"/>
      <x:c r="E80" s="20"/>
      <x:c r="F80" s="20"/>
      <x:c r="G80" s="20"/>
      <x:c r="H80" s="20"/>
      <x:c r="I80" s="20"/>
      <x:c r="J80" s="20"/>
      <x:c r="K80" s="20"/>
      <x:c r="L80" s="20"/>
      <x:c r="M80" s="20"/>
      <x:c r="N80" s="20"/>
      <x:c r="O80" s="20"/>
      <x:c r="P80" s="23"/>
      <x:c r="Q80" s="20"/>
      <x:c r="R80" s="20"/>
      <x:c r="S80" s="20"/>
      <x:c r="T80" s="20"/>
      <x:c r="U80" s="23"/>
      <x:c r="V80" s="20"/>
      <x:c r="W80" s="20"/>
      <x:c r="X80" s="20"/>
      <x:c r="Y80" s="23"/>
    </x:row>
    <x:row r="81">
      <x:c r="A81" s="20"/>
      <x:c r="B81" s="20"/>
      <x:c r="C81" s="20"/>
      <x:c r="D81" s="20"/>
      <x:c r="E81" s="20"/>
      <x:c r="F81" s="20"/>
      <x:c r="G81" s="20"/>
      <x:c r="H81" s="20"/>
      <x:c r="I81" s="20"/>
      <x:c r="J81" s="20"/>
      <x:c r="K81" s="20"/>
      <x:c r="L81" s="20"/>
      <x:c r="M81" s="20"/>
      <x:c r="N81" s="20"/>
      <x:c r="O81" s="20"/>
      <x:c r="P81" s="23"/>
      <x:c r="Q81" s="20"/>
      <x:c r="R81" s="20"/>
      <x:c r="S81" s="20"/>
      <x:c r="T81" s="20"/>
      <x:c r="U81" s="23"/>
      <x:c r="V81" s="20"/>
      <x:c r="W81" s="20"/>
      <x:c r="X81" s="20"/>
      <x:c r="Y81" s="23"/>
    </x:row>
    <x:row r="82">
      <x:c r="A82" s="20"/>
      <x:c r="B82" s="20"/>
      <x:c r="C82" s="20"/>
      <x:c r="D82" s="20"/>
      <x:c r="E82" s="20"/>
      <x:c r="F82" s="20"/>
      <x:c r="G82" s="20"/>
      <x:c r="H82" s="20"/>
      <x:c r="I82" s="20"/>
      <x:c r="J82" s="20"/>
      <x:c r="K82" s="20"/>
      <x:c r="L82" s="20"/>
      <x:c r="M82" s="20"/>
      <x:c r="N82" s="20"/>
      <x:c r="O82" s="20"/>
      <x:c r="P82" s="23"/>
      <x:c r="Q82" s="20"/>
      <x:c r="R82" s="20"/>
      <x:c r="S82" s="20"/>
      <x:c r="T82" s="20"/>
      <x:c r="U82" s="23"/>
      <x:c r="V82" s="20"/>
      <x:c r="W82" s="20"/>
      <x:c r="X82" s="20"/>
      <x:c r="Y82" s="23"/>
    </x:row>
    <x:row r="83">
      <x:c r="A83" s="20"/>
      <x:c r="B83" s="20"/>
      <x:c r="C83" s="20"/>
      <x:c r="D83" s="20"/>
      <x:c r="E83" s="20"/>
      <x:c r="F83" s="20"/>
      <x:c r="G83" s="20"/>
      <x:c r="H83" s="20"/>
      <x:c r="I83" s="20"/>
      <x:c r="J83" s="20"/>
      <x:c r="K83" s="20"/>
      <x:c r="L83" s="20"/>
      <x:c r="M83" s="20"/>
      <x:c r="N83" s="20"/>
      <x:c r="O83" s="20"/>
      <x:c r="P83" s="23"/>
      <x:c r="Q83" s="20"/>
      <x:c r="R83" s="20"/>
      <x:c r="S83" s="20"/>
      <x:c r="T83" s="20"/>
      <x:c r="U83" s="23"/>
      <x:c r="V83" s="20"/>
      <x:c r="W83" s="20"/>
      <x:c r="X83" s="20"/>
      <x:c r="Y83" s="23"/>
    </x:row>
    <x:row r="84">
      <x:c r="A84" s="20"/>
      <x:c r="B84" s="20"/>
      <x:c r="C84" s="20"/>
      <x:c r="D84" s="20"/>
      <x:c r="E84" s="20"/>
      <x:c r="F84" s="20"/>
      <x:c r="G84" s="20"/>
      <x:c r="H84" s="20"/>
      <x:c r="I84" s="20"/>
      <x:c r="J84" s="20"/>
      <x:c r="K84" s="20"/>
      <x:c r="L84" s="20"/>
      <x:c r="M84" s="20"/>
      <x:c r="N84" s="20"/>
      <x:c r="O84" s="20"/>
      <x:c r="P84" s="23"/>
      <x:c r="Q84" s="20"/>
      <x:c r="R84" s="20"/>
      <x:c r="S84" s="20"/>
      <x:c r="T84" s="20"/>
      <x:c r="U84" s="23"/>
      <x:c r="V84" s="20"/>
      <x:c r="W84" s="20"/>
      <x:c r="X84" s="20"/>
      <x:c r="Y84" s="23"/>
    </x:row>
    <x:row r="85">
      <x:c r="A85" s="20"/>
      <x:c r="B85" s="20"/>
      <x:c r="C85" s="20"/>
      <x:c r="D85" s="20"/>
      <x:c r="E85" s="20"/>
      <x:c r="F85" s="20"/>
      <x:c r="G85" s="20"/>
      <x:c r="H85" s="20"/>
      <x:c r="I85" s="20"/>
      <x:c r="J85" s="20"/>
      <x:c r="K85" s="20"/>
      <x:c r="L85" s="20"/>
      <x:c r="M85" s="20"/>
      <x:c r="N85" s="20"/>
      <x:c r="O85" s="20"/>
      <x:c r="P85" s="23"/>
      <x:c r="Q85" s="20"/>
      <x:c r="R85" s="20"/>
      <x:c r="S85" s="20"/>
      <x:c r="T85" s="20"/>
      <x:c r="U85" s="23"/>
      <x:c r="V85" s="20"/>
      <x:c r="W85" s="20"/>
      <x:c r="X85" s="20"/>
      <x:c r="Y85" s="23"/>
    </x:row>
    <x:row r="86">
      <x:c r="A86" s="20"/>
      <x:c r="B86" s="20"/>
      <x:c r="C86" s="20"/>
      <x:c r="D86" s="20"/>
      <x:c r="E86" s="20"/>
      <x:c r="F86" s="20"/>
      <x:c r="G86" s="20"/>
      <x:c r="H86" s="20"/>
      <x:c r="I86" s="20"/>
      <x:c r="J86" s="20"/>
      <x:c r="K86" s="20"/>
      <x:c r="L86" s="20"/>
      <x:c r="M86" s="20"/>
      <x:c r="N86" s="20"/>
      <x:c r="O86" s="20"/>
      <x:c r="P86" s="23"/>
      <x:c r="Q86" s="20"/>
      <x:c r="R86" s="20"/>
      <x:c r="S86" s="20"/>
      <x:c r="T86" s="20"/>
      <x:c r="U86" s="23"/>
      <x:c r="V86" s="20"/>
      <x:c r="W86" s="20"/>
      <x:c r="X86" s="20"/>
      <x:c r="Y86" s="23"/>
    </x:row>
    <x:row r="87">
      <x:c r="A87" s="20"/>
      <x:c r="B87" s="20"/>
      <x:c r="C87" s="20"/>
      <x:c r="D87" s="20"/>
      <x:c r="E87" s="20"/>
      <x:c r="F87" s="20"/>
      <x:c r="G87" s="20"/>
      <x:c r="H87" s="20"/>
      <x:c r="I87" s="20"/>
      <x:c r="J87" s="20"/>
      <x:c r="K87" s="20"/>
      <x:c r="L87" s="20"/>
      <x:c r="M87" s="20"/>
      <x:c r="N87" s="20"/>
      <x:c r="O87" s="20"/>
      <x:c r="P87" s="23"/>
      <x:c r="Q87" s="20"/>
      <x:c r="R87" s="20"/>
      <x:c r="S87" s="20"/>
      <x:c r="T87" s="20"/>
      <x:c r="U87" s="23"/>
      <x:c r="V87" s="20"/>
      <x:c r="W87" s="20"/>
      <x:c r="X87" s="20"/>
      <x:c r="Y87" s="23"/>
    </x:row>
    <x:row r="88">
      <x:c r="A88" s="20"/>
      <x:c r="B88" s="20"/>
      <x:c r="C88" s="20"/>
      <x:c r="D88" s="20"/>
      <x:c r="E88" s="20"/>
      <x:c r="F88" s="20"/>
      <x:c r="G88" s="20"/>
      <x:c r="H88" s="20"/>
      <x:c r="I88" s="20"/>
      <x:c r="J88" s="20"/>
      <x:c r="K88" s="20"/>
      <x:c r="L88" s="20"/>
      <x:c r="M88" s="20"/>
      <x:c r="N88" s="20"/>
      <x:c r="O88" s="20"/>
      <x:c r="P88" s="23"/>
      <x:c r="Q88" s="20"/>
      <x:c r="R88" s="20"/>
      <x:c r="S88" s="20"/>
      <x:c r="T88" s="20"/>
      <x:c r="U88" s="23"/>
      <x:c r="V88" s="20"/>
      <x:c r="W88" s="20"/>
      <x:c r="X88" s="20"/>
      <x:c r="Y88" s="23"/>
    </x:row>
    <x:row r="89">
      <x:c r="A89" s="20"/>
      <x:c r="B89" s="20"/>
      <x:c r="C89" s="20"/>
      <x:c r="D89" s="20"/>
      <x:c r="E89" s="20"/>
      <x:c r="F89" s="20"/>
      <x:c r="G89" s="20"/>
      <x:c r="H89" s="20"/>
      <x:c r="I89" s="20"/>
      <x:c r="J89" s="20"/>
      <x:c r="K89" s="20"/>
      <x:c r="L89" s="20"/>
      <x:c r="M89" s="20"/>
      <x:c r="N89" s="20"/>
      <x:c r="O89" s="20"/>
      <x:c r="P89" s="23"/>
      <x:c r="Q89" s="20"/>
      <x:c r="R89" s="20"/>
      <x:c r="S89" s="20"/>
      <x:c r="T89" s="20"/>
      <x:c r="U89" s="23"/>
      <x:c r="V89" s="20"/>
      <x:c r="W89" s="20"/>
      <x:c r="X89" s="20"/>
      <x:c r="Y89" s="23"/>
    </x:row>
    <x:row r="90">
      <x:c r="A90" s="20"/>
      <x:c r="B90" s="20"/>
      <x:c r="C90" s="20"/>
      <x:c r="D90" s="20"/>
      <x:c r="E90" s="20"/>
      <x:c r="F90" s="20"/>
      <x:c r="G90" s="20"/>
      <x:c r="H90" s="20"/>
      <x:c r="I90" s="20"/>
      <x:c r="J90" s="20"/>
      <x:c r="K90" s="20"/>
      <x:c r="L90" s="20"/>
      <x:c r="M90" s="20"/>
      <x:c r="N90" s="20"/>
      <x:c r="O90" s="20"/>
      <x:c r="P90" s="23"/>
      <x:c r="Q90" s="20"/>
      <x:c r="R90" s="20"/>
      <x:c r="S90" s="20"/>
      <x:c r="T90" s="20"/>
      <x:c r="U90" s="23"/>
      <x:c r="V90" s="20"/>
      <x:c r="W90" s="20"/>
      <x:c r="X90" s="20"/>
      <x:c r="Y90" s="23"/>
    </x:row>
    <x:row r="91">
      <x:c r="A91" s="20"/>
      <x:c r="B91" s="20"/>
      <x:c r="C91" s="20"/>
      <x:c r="D91" s="20"/>
      <x:c r="E91" s="20"/>
      <x:c r="F91" s="20"/>
      <x:c r="G91" s="20"/>
      <x:c r="H91" s="20"/>
      <x:c r="I91" s="20"/>
      <x:c r="J91" s="20"/>
      <x:c r="K91" s="20"/>
      <x:c r="L91" s="20"/>
      <x:c r="M91" s="20"/>
      <x:c r="N91" s="20"/>
      <x:c r="O91" s="20"/>
      <x:c r="P91" s="23"/>
      <x:c r="Q91" s="20"/>
      <x:c r="R91" s="20"/>
      <x:c r="S91" s="20"/>
      <x:c r="T91" s="20"/>
      <x:c r="U91" s="23"/>
      <x:c r="V91" s="20"/>
      <x:c r="W91" s="20"/>
      <x:c r="X91" s="20"/>
      <x:c r="Y91" s="23"/>
    </x:row>
    <x:row r="92">
      <x:c r="A92" s="20"/>
      <x:c r="B92" s="20"/>
      <x:c r="C92" s="20"/>
      <x:c r="D92" s="20"/>
      <x:c r="E92" s="20"/>
      <x:c r="F92" s="20"/>
      <x:c r="G92" s="20"/>
      <x:c r="H92" s="20"/>
      <x:c r="I92" s="20"/>
      <x:c r="J92" s="20"/>
      <x:c r="K92" s="20"/>
      <x:c r="L92" s="20"/>
      <x:c r="M92" s="20"/>
      <x:c r="N92" s="20"/>
      <x:c r="O92" s="20"/>
      <x:c r="P92" s="23"/>
      <x:c r="Q92" s="20"/>
      <x:c r="R92" s="20"/>
      <x:c r="S92" s="20"/>
      <x:c r="T92" s="20"/>
      <x:c r="U92" s="23"/>
      <x:c r="V92" s="20"/>
      <x:c r="W92" s="20"/>
      <x:c r="X92" s="20"/>
      <x:c r="Y92" s="23"/>
    </x:row>
    <x:row r="93">
      <x:c r="A93" s="20"/>
      <x:c r="B93" s="20"/>
      <x:c r="C93" s="20"/>
      <x:c r="D93" s="20"/>
      <x:c r="E93" s="20"/>
      <x:c r="F93" s="20"/>
      <x:c r="G93" s="20"/>
      <x:c r="H93" s="20"/>
      <x:c r="I93" s="20"/>
      <x:c r="J93" s="20"/>
      <x:c r="K93" s="20"/>
      <x:c r="L93" s="20"/>
      <x:c r="M93" s="20"/>
      <x:c r="N93" s="20"/>
      <x:c r="O93" s="20"/>
      <x:c r="P93" s="23"/>
      <x:c r="Q93" s="20"/>
      <x:c r="R93" s="20"/>
      <x:c r="S93" s="20"/>
      <x:c r="T93" s="20"/>
      <x:c r="U93" s="23"/>
      <x:c r="V93" s="20"/>
      <x:c r="W93" s="20"/>
      <x:c r="X93" s="20"/>
      <x:c r="Y93" s="23"/>
    </x:row>
    <x:row r="94">
      <x:c r="A94" s="20"/>
      <x:c r="B94" s="20"/>
      <x:c r="C94" s="20"/>
      <x:c r="D94" s="20"/>
      <x:c r="E94" s="20"/>
      <x:c r="F94" s="20"/>
      <x:c r="G94" s="20"/>
      <x:c r="H94" s="20"/>
      <x:c r="I94" s="20"/>
      <x:c r="J94" s="20"/>
      <x:c r="K94" s="20"/>
      <x:c r="L94" s="20"/>
      <x:c r="M94" s="20"/>
      <x:c r="N94" s="20"/>
      <x:c r="O94" s="20"/>
      <x:c r="P94" s="23"/>
      <x:c r="Q94" s="20"/>
      <x:c r="R94" s="20"/>
      <x:c r="S94" s="20"/>
      <x:c r="T94" s="20"/>
      <x:c r="U94" s="23"/>
      <x:c r="V94" s="20"/>
      <x:c r="W94" s="20"/>
      <x:c r="X94" s="20"/>
      <x:c r="Y94" s="23"/>
    </x:row>
    <x:row r="95">
      <x:c r="A95" s="20"/>
      <x:c r="B95" s="20"/>
      <x:c r="C95" s="20"/>
      <x:c r="D95" s="20"/>
      <x:c r="E95" s="20"/>
      <x:c r="F95" s="20"/>
      <x:c r="G95" s="20"/>
      <x:c r="H95" s="20"/>
      <x:c r="I95" s="20"/>
      <x:c r="J95" s="20"/>
      <x:c r="K95" s="20"/>
      <x:c r="L95" s="20"/>
      <x:c r="M95" s="20"/>
      <x:c r="N95" s="20"/>
      <x:c r="O95" s="20"/>
      <x:c r="P95" s="23"/>
      <x:c r="Q95" s="20"/>
      <x:c r="R95" s="20"/>
      <x:c r="S95" s="20"/>
      <x:c r="T95" s="20"/>
      <x:c r="U95" s="23"/>
      <x:c r="V95" s="20"/>
      <x:c r="W95" s="20"/>
      <x:c r="X95" s="20"/>
      <x:c r="Y95" s="23"/>
    </x:row>
    <x:row r="96">
      <x:c r="A96" s="20"/>
      <x:c r="B96" s="20"/>
      <x:c r="C96" s="20"/>
      <x:c r="D96" s="20"/>
      <x:c r="E96" s="20"/>
      <x:c r="F96" s="20"/>
      <x:c r="G96" s="20"/>
      <x:c r="H96" s="20"/>
      <x:c r="I96" s="20"/>
      <x:c r="J96" s="20"/>
      <x:c r="K96" s="20"/>
      <x:c r="L96" s="20"/>
      <x:c r="M96" s="20"/>
      <x:c r="N96" s="20"/>
      <x:c r="O96" s="20"/>
      <x:c r="P96" s="23"/>
      <x:c r="Q96" s="20"/>
      <x:c r="R96" s="20"/>
      <x:c r="S96" s="20"/>
      <x:c r="T96" s="20"/>
      <x:c r="U96" s="23"/>
      <x:c r="V96" s="20"/>
      <x:c r="W96" s="20"/>
      <x:c r="X96" s="20"/>
      <x:c r="Y96" s="23"/>
    </x:row>
    <x:row r="97">
      <x:c r="A97" s="20"/>
      <x:c r="B97" s="20"/>
      <x:c r="C97" s="20"/>
      <x:c r="D97" s="20"/>
      <x:c r="E97" s="20"/>
      <x:c r="F97" s="20"/>
      <x:c r="G97" s="20"/>
      <x:c r="H97" s="20"/>
      <x:c r="I97" s="20"/>
      <x:c r="J97" s="20"/>
      <x:c r="K97" s="20"/>
      <x:c r="L97" s="20"/>
      <x:c r="M97" s="20"/>
      <x:c r="N97" s="20"/>
      <x:c r="O97" s="20"/>
      <x:c r="P97" s="23"/>
      <x:c r="Q97" s="20"/>
      <x:c r="R97" s="20"/>
      <x:c r="S97" s="20"/>
      <x:c r="T97" s="20"/>
      <x:c r="U97" s="23"/>
      <x:c r="V97" s="20"/>
      <x:c r="W97" s="20"/>
      <x:c r="X97" s="20"/>
      <x:c r="Y97" s="23"/>
    </x:row>
    <x:row r="98">
      <x:c r="A98" s="20"/>
      <x:c r="B98" s="20"/>
      <x:c r="C98" s="20"/>
      <x:c r="D98" s="20"/>
      <x:c r="E98" s="20"/>
      <x:c r="F98" s="20"/>
      <x:c r="G98" s="20"/>
      <x:c r="H98" s="20"/>
      <x:c r="I98" s="20"/>
      <x:c r="J98" s="20"/>
      <x:c r="K98" s="20"/>
      <x:c r="L98" s="20"/>
      <x:c r="M98" s="20"/>
      <x:c r="N98" s="20"/>
      <x:c r="O98" s="20"/>
      <x:c r="P98" s="23"/>
      <x:c r="Q98" s="20"/>
      <x:c r="R98" s="20"/>
      <x:c r="S98" s="20"/>
      <x:c r="T98" s="20"/>
      <x:c r="U98" s="23"/>
      <x:c r="V98" s="20"/>
      <x:c r="W98" s="20"/>
      <x:c r="X98" s="20"/>
      <x:c r="Y98" s="23"/>
    </x:row>
    <x:row r="99">
      <x:c r="A99" s="20"/>
      <x:c r="B99" s="20"/>
      <x:c r="C99" s="20"/>
      <x:c r="D99" s="20"/>
      <x:c r="E99" s="20"/>
      <x:c r="F99" s="20"/>
      <x:c r="G99" s="20"/>
      <x:c r="H99" s="20"/>
      <x:c r="I99" s="20"/>
      <x:c r="J99" s="20"/>
      <x:c r="K99" s="20"/>
      <x:c r="L99" s="20"/>
      <x:c r="M99" s="20"/>
      <x:c r="N99" s="20"/>
      <x:c r="O99" s="20"/>
      <x:c r="P99" s="23"/>
      <x:c r="Q99" s="20"/>
      <x:c r="R99" s="20"/>
      <x:c r="S99" s="20"/>
      <x:c r="T99" s="20"/>
      <x:c r="U99" s="23"/>
      <x:c r="V99" s="20"/>
      <x:c r="W99" s="20"/>
      <x:c r="X99" s="20"/>
      <x:c r="Y99" s="23"/>
    </x:row>
    <x:row r="100">
      <x:c r="A100" s="20"/>
      <x:c r="B100" s="20"/>
      <x:c r="C100" s="20"/>
      <x:c r="D100" s="20"/>
      <x:c r="E100" s="20"/>
      <x:c r="F100" s="20"/>
      <x:c r="G100" s="20"/>
      <x:c r="H100" s="20"/>
      <x:c r="I100" s="20"/>
      <x:c r="J100" s="20"/>
      <x:c r="K100" s="20"/>
      <x:c r="L100" s="20"/>
      <x:c r="M100" s="20"/>
      <x:c r="N100" s="20"/>
      <x:c r="O100" s="20"/>
      <x:c r="P100" s="23"/>
      <x:c r="Q100" s="20"/>
      <x:c r="R100" s="20"/>
      <x:c r="S100" s="20"/>
      <x:c r="T100" s="20"/>
      <x:c r="U100" s="23"/>
      <x:c r="V100" s="20"/>
      <x:c r="W100" s="20"/>
      <x:c r="X100" s="20"/>
      <x:c r="Y100" s="23"/>
    </x:row>
    <x:row r="101">
      <x:c r="A101" s="20"/>
      <x:c r="B101" s="20"/>
      <x:c r="C101" s="20"/>
      <x:c r="D101" s="20"/>
      <x:c r="E101" s="20"/>
      <x:c r="F101" s="20"/>
      <x:c r="G101" s="20"/>
      <x:c r="H101" s="20"/>
      <x:c r="I101" s="20"/>
      <x:c r="J101" s="20"/>
      <x:c r="K101" s="20"/>
      <x:c r="L101" s="20"/>
      <x:c r="M101" s="20"/>
      <x:c r="N101" s="20"/>
      <x:c r="O101" s="20"/>
      <x:c r="P101" s="23"/>
      <x:c r="Q101" s="20"/>
      <x:c r="R101" s="20"/>
      <x:c r="S101" s="20"/>
      <x:c r="T101" s="20"/>
      <x:c r="U101" s="23"/>
      <x:c r="V101" s="20"/>
      <x:c r="W101" s="20"/>
      <x:c r="X101" s="20"/>
      <x:c r="Y101" s="23"/>
    </x:row>
    <x:row r="102">
      <x:c r="A102" s="20"/>
      <x:c r="B102" s="20"/>
      <x:c r="C102" s="20"/>
      <x:c r="D102" s="20"/>
      <x:c r="E102" s="20"/>
      <x:c r="F102" s="20"/>
      <x:c r="G102" s="20"/>
      <x:c r="H102" s="20"/>
      <x:c r="I102" s="20"/>
      <x:c r="J102" s="20"/>
      <x:c r="K102" s="20"/>
      <x:c r="L102" s="20"/>
      <x:c r="M102" s="20"/>
      <x:c r="N102" s="20"/>
      <x:c r="O102" s="20"/>
      <x:c r="P102" s="23"/>
      <x:c r="Q102" s="20"/>
      <x:c r="R102" s="20"/>
      <x:c r="S102" s="20"/>
      <x:c r="T102" s="20"/>
      <x:c r="U102" s="23"/>
      <x:c r="V102" s="20"/>
      <x:c r="W102" s="20"/>
      <x:c r="X102" s="20"/>
      <x:c r="Y102" s="23"/>
    </x:row>
    <x:row r="103">
      <x:c r="A103" s="20"/>
      <x:c r="B103" s="20"/>
      <x:c r="C103" s="20"/>
      <x:c r="D103" s="20"/>
      <x:c r="E103" s="20"/>
      <x:c r="F103" s="20"/>
      <x:c r="G103" s="20"/>
      <x:c r="H103" s="20"/>
      <x:c r="I103" s="20"/>
      <x:c r="J103" s="20"/>
      <x:c r="K103" s="20"/>
      <x:c r="L103" s="20"/>
      <x:c r="M103" s="20"/>
      <x:c r="N103" s="20"/>
      <x:c r="O103" s="20"/>
      <x:c r="P103" s="23"/>
      <x:c r="Q103" s="20"/>
      <x:c r="R103" s="20"/>
      <x:c r="S103" s="20"/>
      <x:c r="T103" s="20"/>
      <x:c r="U103" s="23"/>
      <x:c r="V103" s="20"/>
      <x:c r="W103" s="20"/>
      <x:c r="X103" s="20"/>
      <x:c r="Y103" s="23"/>
    </x:row>
    <x:row r="104">
      <x:c r="A104" s="20"/>
      <x:c r="B104" s="20"/>
      <x:c r="C104" s="20"/>
      <x:c r="D104" s="20"/>
      <x:c r="E104" s="20"/>
      <x:c r="F104" s="20"/>
      <x:c r="G104" s="20"/>
      <x:c r="H104" s="20"/>
      <x:c r="I104" s="20"/>
      <x:c r="J104" s="20"/>
      <x:c r="K104" s="20"/>
      <x:c r="L104" s="20"/>
      <x:c r="M104" s="20"/>
      <x:c r="N104" s="20"/>
      <x:c r="O104" s="20"/>
      <x:c r="P104" s="23"/>
      <x:c r="Q104" s="20"/>
      <x:c r="R104" s="20"/>
      <x:c r="S104" s="20"/>
      <x:c r="T104" s="20"/>
      <x:c r="U104" s="23"/>
      <x:c r="V104" s="20"/>
      <x:c r="W104" s="20"/>
      <x:c r="X104" s="20"/>
      <x:c r="Y104" s="23"/>
    </x:row>
    <x:row r="105">
      <x:c r="A105" s="20"/>
      <x:c r="B105" s="20"/>
      <x:c r="C105" s="20"/>
      <x:c r="D105" s="20"/>
      <x:c r="E105" s="20"/>
      <x:c r="F105" s="20"/>
      <x:c r="G105" s="20"/>
      <x:c r="H105" s="20"/>
      <x:c r="I105" s="20"/>
      <x:c r="J105" s="20"/>
      <x:c r="K105" s="20"/>
      <x:c r="L105" s="20"/>
      <x:c r="M105" s="20"/>
      <x:c r="N105" s="20"/>
      <x:c r="O105" s="20"/>
      <x:c r="P105" s="23"/>
      <x:c r="Q105" s="20"/>
      <x:c r="R105" s="20"/>
      <x:c r="S105" s="20"/>
      <x:c r="T105" s="20"/>
      <x:c r="U105" s="23"/>
      <x:c r="V105" s="20"/>
      <x:c r="W105" s="20"/>
      <x:c r="X105" s="20"/>
      <x:c r="Y105" s="23"/>
    </x:row>
    <x:row r="106">
      <x:c r="A106" s="20"/>
      <x:c r="B106" s="20"/>
      <x:c r="C106" s="20"/>
      <x:c r="D106" s="20"/>
      <x:c r="E106" s="20"/>
      <x:c r="F106" s="20"/>
      <x:c r="G106" s="20"/>
      <x:c r="H106" s="20"/>
      <x:c r="I106" s="20"/>
      <x:c r="J106" s="20"/>
      <x:c r="K106" s="20"/>
      <x:c r="L106" s="20"/>
      <x:c r="M106" s="20"/>
      <x:c r="N106" s="20"/>
      <x:c r="O106" s="20"/>
      <x:c r="P106" s="23"/>
      <x:c r="Q106" s="20"/>
      <x:c r="R106" s="20"/>
      <x:c r="S106" s="20"/>
      <x:c r="T106" s="20"/>
      <x:c r="U106" s="23"/>
      <x:c r="V106" s="20"/>
      <x:c r="W106" s="20"/>
      <x:c r="X106" s="20"/>
      <x:c r="Y106" s="23"/>
    </x:row>
    <x:row r="107">
      <x:c r="A107" s="20"/>
      <x:c r="B107" s="20"/>
      <x:c r="C107" s="20"/>
      <x:c r="D107" s="20"/>
      <x:c r="E107" s="20"/>
      <x:c r="F107" s="20"/>
      <x:c r="G107" s="20"/>
      <x:c r="H107" s="20"/>
      <x:c r="I107" s="20"/>
      <x:c r="J107" s="20"/>
      <x:c r="K107" s="20"/>
      <x:c r="L107" s="20"/>
      <x:c r="M107" s="20"/>
      <x:c r="N107" s="20"/>
      <x:c r="O107" s="20"/>
      <x:c r="P107" s="23"/>
      <x:c r="Q107" s="20"/>
      <x:c r="R107" s="20"/>
      <x:c r="S107" s="20"/>
      <x:c r="T107" s="20"/>
      <x:c r="U107" s="23"/>
      <x:c r="V107" s="20"/>
      <x:c r="W107" s="20"/>
      <x:c r="X107" s="20"/>
      <x:c r="Y107" s="23"/>
    </x:row>
    <x:row r="108">
      <x:c r="A108" s="20"/>
      <x:c r="B108" s="20"/>
      <x:c r="C108" s="20"/>
      <x:c r="D108" s="20"/>
      <x:c r="E108" s="20"/>
      <x:c r="F108" s="20"/>
      <x:c r="G108" s="20"/>
      <x:c r="H108" s="20"/>
      <x:c r="I108" s="20"/>
      <x:c r="J108" s="20"/>
      <x:c r="K108" s="20"/>
      <x:c r="L108" s="20"/>
      <x:c r="M108" s="20"/>
      <x:c r="N108" s="20"/>
      <x:c r="O108" s="20"/>
      <x:c r="P108" s="23"/>
      <x:c r="Q108" s="20"/>
      <x:c r="R108" s="20"/>
      <x:c r="S108" s="20"/>
      <x:c r="T108" s="20"/>
      <x:c r="U108" s="23"/>
      <x:c r="V108" s="20"/>
      <x:c r="W108" s="20"/>
      <x:c r="X108" s="20"/>
      <x:c r="Y108" s="23"/>
    </x:row>
    <x:row r="109">
      <x:c r="A109" s="20"/>
      <x:c r="B109" s="20"/>
      <x:c r="C109" s="20"/>
      <x:c r="D109" s="20"/>
      <x:c r="E109" s="20"/>
      <x:c r="F109" s="20"/>
      <x:c r="G109" s="20"/>
      <x:c r="H109" s="20"/>
      <x:c r="I109" s="20"/>
      <x:c r="J109" s="20"/>
      <x:c r="K109" s="20"/>
      <x:c r="L109" s="20"/>
      <x:c r="M109" s="20"/>
      <x:c r="N109" s="20"/>
      <x:c r="O109" s="20"/>
      <x:c r="P109" s="23"/>
      <x:c r="Q109" s="20"/>
      <x:c r="R109" s="20"/>
      <x:c r="S109" s="20"/>
      <x:c r="T109" s="20"/>
      <x:c r="U109" s="23"/>
      <x:c r="V109" s="20"/>
      <x:c r="W109" s="20"/>
      <x:c r="X109" s="20"/>
      <x:c r="Y109" s="23"/>
    </x:row>
    <x:row r="110">
      <x:c r="A110" s="20"/>
      <x:c r="B110" s="20"/>
      <x:c r="C110" s="20"/>
      <x:c r="D110" s="20"/>
      <x:c r="E110" s="20"/>
      <x:c r="F110" s="20"/>
      <x:c r="G110" s="20"/>
      <x:c r="H110" s="20"/>
      <x:c r="I110" s="20"/>
      <x:c r="J110" s="20"/>
      <x:c r="K110" s="20"/>
      <x:c r="L110" s="20"/>
      <x:c r="M110" s="20"/>
      <x:c r="N110" s="20"/>
      <x:c r="O110" s="20"/>
      <x:c r="P110" s="23"/>
      <x:c r="Q110" s="20"/>
      <x:c r="R110" s="20"/>
      <x:c r="S110" s="20"/>
      <x:c r="T110" s="20"/>
      <x:c r="U110" s="23"/>
      <x:c r="V110" s="20"/>
      <x:c r="W110" s="20"/>
      <x:c r="X110" s="20"/>
      <x:c r="Y110" s="23"/>
    </x:row>
    <x:row r="111">
      <x:c r="A111" s="20"/>
      <x:c r="B111" s="20"/>
      <x:c r="C111" s="20"/>
      <x:c r="D111" s="20"/>
      <x:c r="E111" s="20"/>
      <x:c r="F111" s="20"/>
      <x:c r="G111" s="20"/>
      <x:c r="H111" s="20"/>
      <x:c r="I111" s="20"/>
      <x:c r="J111" s="20"/>
      <x:c r="K111" s="20"/>
      <x:c r="L111" s="20"/>
      <x:c r="M111" s="20"/>
      <x:c r="N111" s="20"/>
      <x:c r="O111" s="20"/>
      <x:c r="P111" s="23"/>
      <x:c r="Q111" s="20"/>
      <x:c r="R111" s="20"/>
      <x:c r="S111" s="20"/>
      <x:c r="T111" s="20"/>
      <x:c r="U111" s="23"/>
      <x:c r="V111" s="20"/>
      <x:c r="W111" s="20"/>
      <x:c r="X111" s="20"/>
      <x:c r="Y111" s="23"/>
    </x:row>
    <x:row r="112">
      <x:c r="A112" s="20"/>
      <x:c r="B112" s="20"/>
      <x:c r="C112" s="20"/>
      <x:c r="D112" s="20"/>
      <x:c r="E112" s="20"/>
      <x:c r="F112" s="20"/>
      <x:c r="G112" s="20"/>
      <x:c r="H112" s="20"/>
      <x:c r="I112" s="20"/>
      <x:c r="J112" s="20"/>
      <x:c r="K112" s="20"/>
      <x:c r="L112" s="20"/>
      <x:c r="M112" s="20"/>
      <x:c r="N112" s="20"/>
      <x:c r="O112" s="20"/>
      <x:c r="P112" s="23"/>
      <x:c r="Q112" s="20"/>
      <x:c r="R112" s="20"/>
      <x:c r="S112" s="20"/>
      <x:c r="T112" s="20"/>
      <x:c r="U112" s="23"/>
      <x:c r="V112" s="20"/>
      <x:c r="W112" s="20"/>
      <x:c r="X112" s="20"/>
      <x:c r="Y112" s="23"/>
    </x:row>
    <x:row r="113">
      <x:c r="A113" s="20"/>
      <x:c r="B113" s="20"/>
      <x:c r="C113" s="20"/>
      <x:c r="D113" s="20"/>
      <x:c r="E113" s="20"/>
      <x:c r="F113" s="20"/>
      <x:c r="G113" s="20"/>
      <x:c r="H113" s="20"/>
      <x:c r="I113" s="20"/>
      <x:c r="J113" s="20"/>
      <x:c r="K113" s="20"/>
      <x:c r="L113" s="20"/>
      <x:c r="M113" s="20"/>
      <x:c r="N113" s="20"/>
      <x:c r="O113" s="20"/>
      <x:c r="P113" s="23"/>
      <x:c r="Q113" s="20"/>
      <x:c r="R113" s="20"/>
      <x:c r="S113" s="20"/>
      <x:c r="T113" s="20"/>
      <x:c r="U113" s="23"/>
      <x:c r="V113" s="20"/>
      <x:c r="W113" s="20"/>
      <x:c r="X113" s="20"/>
      <x:c r="Y113" s="23"/>
    </x:row>
    <x:row r="114">
      <x:c r="A114" s="20"/>
      <x:c r="B114" s="20"/>
      <x:c r="C114" s="20"/>
      <x:c r="D114" s="20"/>
      <x:c r="E114" s="20"/>
      <x:c r="F114" s="20"/>
      <x:c r="G114" s="20"/>
      <x:c r="H114" s="20"/>
      <x:c r="I114" s="20"/>
      <x:c r="J114" s="20"/>
      <x:c r="K114" s="20"/>
      <x:c r="L114" s="20"/>
      <x:c r="M114" s="20"/>
      <x:c r="N114" s="20"/>
      <x:c r="O114" s="20"/>
      <x:c r="P114" s="23"/>
      <x:c r="Q114" s="20"/>
      <x:c r="R114" s="20"/>
      <x:c r="S114" s="20"/>
      <x:c r="T114" s="20"/>
      <x:c r="U114" s="23"/>
      <x:c r="V114" s="20"/>
      <x:c r="W114" s="20"/>
      <x:c r="X114" s="20"/>
      <x:c r="Y114" s="23"/>
    </x:row>
    <x:row r="115">
      <x:c r="A115" s="20"/>
      <x:c r="B115" s="20"/>
      <x:c r="C115" s="20"/>
      <x:c r="D115" s="20"/>
      <x:c r="E115" s="20"/>
      <x:c r="F115" s="20"/>
      <x:c r="G115" s="20"/>
      <x:c r="H115" s="20"/>
      <x:c r="I115" s="20"/>
      <x:c r="J115" s="20"/>
      <x:c r="K115" s="20"/>
      <x:c r="L115" s="20"/>
      <x:c r="M115" s="20"/>
      <x:c r="N115" s="20"/>
      <x:c r="O115" s="20"/>
      <x:c r="P115" s="23"/>
      <x:c r="Q115" s="20"/>
      <x:c r="R115" s="20"/>
      <x:c r="S115" s="20"/>
      <x:c r="T115" s="20"/>
      <x:c r="U115" s="23"/>
      <x:c r="V115" s="20"/>
      <x:c r="W115" s="20"/>
      <x:c r="X115" s="20"/>
      <x:c r="Y115" s="23"/>
    </x:row>
    <x:row r="116">
      <x:c r="A116" s="20"/>
      <x:c r="B116" s="20"/>
      <x:c r="C116" s="20"/>
      <x:c r="D116" s="20"/>
      <x:c r="E116" s="20"/>
      <x:c r="F116" s="20"/>
      <x:c r="G116" s="20"/>
      <x:c r="H116" s="20"/>
      <x:c r="I116" s="20"/>
      <x:c r="J116" s="20"/>
      <x:c r="K116" s="20"/>
      <x:c r="L116" s="20"/>
      <x:c r="M116" s="20"/>
      <x:c r="N116" s="20"/>
      <x:c r="O116" s="20"/>
      <x:c r="P116" s="23"/>
      <x:c r="Q116" s="20"/>
      <x:c r="R116" s="20"/>
      <x:c r="S116" s="20"/>
      <x:c r="T116" s="20"/>
      <x:c r="U116" s="23"/>
      <x:c r="V116" s="20"/>
      <x:c r="W116" s="20"/>
      <x:c r="X116" s="20"/>
      <x:c r="Y116" s="23"/>
    </x:row>
    <x:row r="117">
      <x:c r="A117" s="20"/>
      <x:c r="B117" s="20"/>
      <x:c r="C117" s="20"/>
      <x:c r="D117" s="20"/>
      <x:c r="E117" s="20"/>
      <x:c r="F117" s="20"/>
      <x:c r="G117" s="20"/>
      <x:c r="H117" s="20"/>
      <x:c r="I117" s="20"/>
      <x:c r="J117" s="20"/>
      <x:c r="K117" s="20"/>
      <x:c r="L117" s="20"/>
      <x:c r="M117" s="20"/>
      <x:c r="N117" s="20"/>
      <x:c r="O117" s="20"/>
      <x:c r="P117" s="23"/>
      <x:c r="Q117" s="20"/>
      <x:c r="R117" s="20"/>
      <x:c r="S117" s="20"/>
      <x:c r="T117" s="20"/>
      <x:c r="U117" s="23"/>
      <x:c r="V117" s="20"/>
      <x:c r="W117" s="20"/>
      <x:c r="X117" s="20"/>
      <x:c r="Y117" s="23"/>
    </x:row>
    <x:row r="118">
      <x:c r="A118" s="20"/>
      <x:c r="B118" s="20"/>
      <x:c r="C118" s="20"/>
      <x:c r="D118" s="20"/>
      <x:c r="E118" s="20"/>
      <x:c r="F118" s="20"/>
      <x:c r="G118" s="20"/>
      <x:c r="H118" s="20"/>
      <x:c r="I118" s="20"/>
      <x:c r="J118" s="20"/>
      <x:c r="K118" s="20"/>
      <x:c r="L118" s="20"/>
      <x:c r="M118" s="20"/>
      <x:c r="N118" s="20"/>
      <x:c r="O118" s="20"/>
      <x:c r="P118" s="23"/>
      <x:c r="Q118" s="20"/>
      <x:c r="R118" s="20"/>
      <x:c r="S118" s="20"/>
      <x:c r="T118" s="20"/>
      <x:c r="U118" s="23"/>
      <x:c r="V118" s="20"/>
      <x:c r="W118" s="20"/>
      <x:c r="X118" s="20"/>
      <x:c r="Y118" s="23"/>
    </x:row>
    <x:row r="119">
      <x:c r="A119" s="20"/>
      <x:c r="B119" s="20"/>
      <x:c r="C119" s="20"/>
      <x:c r="D119" s="20"/>
      <x:c r="E119" s="20"/>
      <x:c r="F119" s="20"/>
      <x:c r="G119" s="20"/>
      <x:c r="H119" s="20"/>
      <x:c r="I119" s="20"/>
      <x:c r="J119" s="20"/>
      <x:c r="K119" s="20"/>
      <x:c r="L119" s="20"/>
      <x:c r="M119" s="20"/>
      <x:c r="N119" s="20"/>
      <x:c r="O119" s="20"/>
      <x:c r="P119" s="23"/>
      <x:c r="Q119" s="20"/>
      <x:c r="R119" s="20"/>
      <x:c r="S119" s="20"/>
      <x:c r="T119" s="20"/>
      <x:c r="U119" s="23"/>
      <x:c r="V119" s="20"/>
      <x:c r="W119" s="20"/>
      <x:c r="X119" s="20"/>
      <x:c r="Y119" s="23"/>
    </x:row>
    <x:row r="120">
      <x:c r="A120" s="20"/>
      <x:c r="B120" s="20"/>
      <x:c r="C120" s="20"/>
      <x:c r="D120" s="20"/>
      <x:c r="E120" s="20"/>
      <x:c r="F120" s="20"/>
      <x:c r="G120" s="20"/>
      <x:c r="H120" s="20"/>
      <x:c r="I120" s="20"/>
      <x:c r="J120" s="20"/>
      <x:c r="K120" s="20"/>
      <x:c r="L120" s="20"/>
      <x:c r="M120" s="20"/>
      <x:c r="N120" s="20"/>
      <x:c r="O120" s="20"/>
      <x:c r="P120" s="23"/>
      <x:c r="Q120" s="20"/>
      <x:c r="R120" s="20"/>
      <x:c r="S120" s="20"/>
      <x:c r="T120" s="20"/>
      <x:c r="U120" s="23"/>
      <x:c r="V120" s="20"/>
      <x:c r="W120" s="20"/>
      <x:c r="X120" s="20"/>
      <x:c r="Y120" s="23"/>
    </x:row>
    <x:row r="121">
      <x:c r="A121" s="20"/>
      <x:c r="B121" s="20"/>
      <x:c r="C121" s="20"/>
      <x:c r="D121" s="20"/>
      <x:c r="E121" s="20"/>
      <x:c r="F121" s="20"/>
      <x:c r="G121" s="20"/>
      <x:c r="H121" s="20"/>
      <x:c r="I121" s="20"/>
      <x:c r="J121" s="20"/>
      <x:c r="K121" s="20"/>
      <x:c r="L121" s="20"/>
      <x:c r="M121" s="20"/>
      <x:c r="N121" s="20"/>
      <x:c r="O121" s="20"/>
      <x:c r="P121" s="23"/>
      <x:c r="Q121" s="20"/>
      <x:c r="R121" s="20"/>
      <x:c r="S121" s="20"/>
      <x:c r="T121" s="20"/>
      <x:c r="U121" s="23"/>
      <x:c r="V121" s="20"/>
      <x:c r="W121" s="20"/>
      <x:c r="X121" s="20"/>
      <x:c r="Y121" s="23"/>
    </x:row>
    <x:row r="122">
      <x:c r="A122" s="20"/>
      <x:c r="B122" s="20"/>
      <x:c r="C122" s="20"/>
      <x:c r="D122" s="20"/>
      <x:c r="E122" s="20"/>
      <x:c r="F122" s="20"/>
      <x:c r="G122" s="20"/>
      <x:c r="H122" s="20"/>
      <x:c r="I122" s="20"/>
      <x:c r="J122" s="20"/>
      <x:c r="K122" s="20"/>
      <x:c r="L122" s="20"/>
      <x:c r="M122" s="20"/>
      <x:c r="N122" s="20"/>
      <x:c r="O122" s="20"/>
      <x:c r="P122" s="23"/>
      <x:c r="Q122" s="20"/>
      <x:c r="R122" s="20"/>
      <x:c r="S122" s="20"/>
      <x:c r="T122" s="20"/>
      <x:c r="U122" s="23"/>
      <x:c r="V122" s="20"/>
      <x:c r="W122" s="20"/>
      <x:c r="X122" s="20"/>
      <x:c r="Y122" s="23"/>
    </x:row>
    <x:row r="123">
      <x:c r="A123" s="20"/>
      <x:c r="B123" s="20"/>
      <x:c r="C123" s="20"/>
      <x:c r="D123" s="20"/>
      <x:c r="E123" s="20"/>
      <x:c r="F123" s="20"/>
      <x:c r="G123" s="20"/>
      <x:c r="H123" s="20"/>
      <x:c r="I123" s="20"/>
      <x:c r="J123" s="20"/>
      <x:c r="K123" s="20"/>
      <x:c r="L123" s="20"/>
      <x:c r="M123" s="20"/>
      <x:c r="N123" s="20"/>
      <x:c r="O123" s="20"/>
      <x:c r="P123" s="23"/>
      <x:c r="Q123" s="20"/>
      <x:c r="R123" s="20"/>
      <x:c r="S123" s="20"/>
      <x:c r="T123" s="20"/>
      <x:c r="U123" s="23"/>
      <x:c r="V123" s="20"/>
      <x:c r="W123" s="20"/>
      <x:c r="X123" s="20"/>
      <x:c r="Y123" s="23"/>
    </x:row>
    <x:row r="124">
      <x:c r="A124" s="20"/>
      <x:c r="B124" s="20"/>
      <x:c r="C124" s="20"/>
      <x:c r="D124" s="20"/>
      <x:c r="E124" s="20"/>
      <x:c r="F124" s="20"/>
      <x:c r="G124" s="20"/>
      <x:c r="H124" s="20"/>
      <x:c r="I124" s="20"/>
      <x:c r="J124" s="20"/>
      <x:c r="K124" s="20"/>
      <x:c r="L124" s="20"/>
      <x:c r="M124" s="20"/>
      <x:c r="N124" s="20"/>
      <x:c r="O124" s="20"/>
      <x:c r="P124" s="23"/>
      <x:c r="Q124" s="20"/>
      <x:c r="R124" s="20"/>
      <x:c r="S124" s="20"/>
      <x:c r="T124" s="20"/>
      <x:c r="U124" s="23"/>
      <x:c r="V124" s="20"/>
      <x:c r="W124" s="20"/>
      <x:c r="X124" s="20"/>
      <x:c r="Y124" s="23"/>
    </x:row>
    <x:row r="125">
      <x:c r="A125" s="20"/>
      <x:c r="B125" s="20"/>
      <x:c r="C125" s="20"/>
      <x:c r="D125" s="20"/>
      <x:c r="E125" s="20"/>
      <x:c r="F125" s="20"/>
      <x:c r="G125" s="20"/>
      <x:c r="H125" s="20"/>
      <x:c r="I125" s="20"/>
      <x:c r="J125" s="20"/>
      <x:c r="K125" s="20"/>
      <x:c r="L125" s="20"/>
      <x:c r="M125" s="20"/>
      <x:c r="N125" s="20"/>
      <x:c r="O125" s="20"/>
      <x:c r="P125" s="23"/>
      <x:c r="Q125" s="20"/>
      <x:c r="R125" s="20"/>
      <x:c r="S125" s="20"/>
      <x:c r="T125" s="20"/>
      <x:c r="U125" s="23"/>
      <x:c r="V125" s="20"/>
      <x:c r="W125" s="20"/>
      <x:c r="X125" s="20"/>
      <x:c r="Y125" s="23"/>
    </x:row>
    <x:row r="126">
      <x:c r="A126" s="20"/>
      <x:c r="B126" s="20"/>
      <x:c r="C126" s="20"/>
      <x:c r="D126" s="20"/>
      <x:c r="E126" s="20"/>
      <x:c r="F126" s="20"/>
      <x:c r="G126" s="20"/>
      <x:c r="H126" s="20"/>
      <x:c r="I126" s="20"/>
      <x:c r="J126" s="20"/>
      <x:c r="K126" s="20"/>
      <x:c r="L126" s="20"/>
      <x:c r="M126" s="20"/>
      <x:c r="N126" s="20"/>
      <x:c r="O126" s="20"/>
      <x:c r="P126" s="23"/>
      <x:c r="Q126" s="20"/>
      <x:c r="R126" s="20"/>
      <x:c r="S126" s="20"/>
      <x:c r="T126" s="20"/>
      <x:c r="U126" s="23"/>
      <x:c r="V126" s="20"/>
      <x:c r="W126" s="20"/>
      <x:c r="X126" s="20"/>
      <x:c r="Y126" s="23"/>
    </x:row>
    <x:row r="127">
      <x:c r="A127" s="20"/>
      <x:c r="B127" s="20"/>
      <x:c r="C127" s="20"/>
      <x:c r="D127" s="20"/>
      <x:c r="E127" s="20"/>
      <x:c r="F127" s="20"/>
      <x:c r="G127" s="20"/>
      <x:c r="H127" s="20"/>
      <x:c r="I127" s="20"/>
      <x:c r="J127" s="20"/>
      <x:c r="K127" s="20"/>
      <x:c r="L127" s="20"/>
      <x:c r="M127" s="20"/>
      <x:c r="N127" s="20"/>
      <x:c r="O127" s="20"/>
      <x:c r="P127" s="23"/>
      <x:c r="Q127" s="20"/>
      <x:c r="R127" s="20"/>
      <x:c r="S127" s="20"/>
      <x:c r="T127" s="20"/>
      <x:c r="U127" s="23"/>
      <x:c r="V127" s="20"/>
      <x:c r="W127" s="20"/>
      <x:c r="X127" s="20"/>
      <x:c r="Y127" s="23"/>
    </x:row>
    <x:row r="128">
      <x:c r="A128" s="20"/>
      <x:c r="B128" s="20"/>
      <x:c r="C128" s="20"/>
      <x:c r="D128" s="20"/>
      <x:c r="E128" s="20"/>
      <x:c r="F128" s="20"/>
      <x:c r="G128" s="20"/>
      <x:c r="H128" s="20"/>
      <x:c r="I128" s="20"/>
      <x:c r="J128" s="20"/>
      <x:c r="K128" s="20"/>
      <x:c r="L128" s="20"/>
      <x:c r="M128" s="20"/>
      <x:c r="N128" s="20"/>
      <x:c r="O128" s="20"/>
      <x:c r="P128" s="23"/>
      <x:c r="Q128" s="20"/>
      <x:c r="R128" s="20"/>
      <x:c r="S128" s="20"/>
      <x:c r="T128" s="20"/>
      <x:c r="U128" s="23"/>
      <x:c r="V128" s="20"/>
      <x:c r="W128" s="20"/>
      <x:c r="X128" s="20"/>
      <x:c r="Y128" s="23"/>
    </x:row>
    <x:row r="129">
      <x:c r="A129" s="20"/>
      <x:c r="B129" s="20"/>
      <x:c r="C129" s="20"/>
      <x:c r="D129" s="20"/>
      <x:c r="E129" s="20"/>
      <x:c r="F129" s="20"/>
      <x:c r="G129" s="20"/>
      <x:c r="H129" s="20"/>
      <x:c r="I129" s="20"/>
      <x:c r="J129" s="20"/>
      <x:c r="K129" s="20"/>
      <x:c r="L129" s="20"/>
      <x:c r="M129" s="20"/>
      <x:c r="N129" s="20"/>
      <x:c r="O129" s="20"/>
      <x:c r="P129" s="23"/>
      <x:c r="Q129" s="20"/>
      <x:c r="R129" s="20"/>
      <x:c r="S129" s="20"/>
      <x:c r="T129" s="20"/>
      <x:c r="U129" s="23"/>
      <x:c r="V129" s="20"/>
      <x:c r="W129" s="20"/>
      <x:c r="X129" s="20"/>
      <x:c r="Y129" s="23"/>
    </x:row>
    <x:row r="130">
      <x:c r="A130" s="20"/>
      <x:c r="B130" s="20"/>
      <x:c r="C130" s="20"/>
      <x:c r="D130" s="20"/>
      <x:c r="E130" s="20"/>
      <x:c r="F130" s="20"/>
      <x:c r="G130" s="20"/>
      <x:c r="H130" s="20"/>
      <x:c r="I130" s="20"/>
      <x:c r="J130" s="20"/>
      <x:c r="K130" s="20"/>
      <x:c r="L130" s="20"/>
      <x:c r="M130" s="20"/>
      <x:c r="N130" s="20"/>
      <x:c r="O130" s="20"/>
      <x:c r="P130" s="23"/>
      <x:c r="Q130" s="20"/>
      <x:c r="R130" s="20"/>
      <x:c r="S130" s="20"/>
      <x:c r="T130" s="20"/>
      <x:c r="U130" s="23"/>
      <x:c r="V130" s="20"/>
      <x:c r="W130" s="20"/>
      <x:c r="X130" s="20"/>
      <x:c r="Y130" s="23"/>
    </x:row>
    <x:row r="131">
      <x:c r="A131" s="20"/>
      <x:c r="B131" s="20"/>
      <x:c r="C131" s="20"/>
      <x:c r="D131" s="20"/>
      <x:c r="E131" s="20"/>
      <x:c r="F131" s="20"/>
      <x:c r="G131" s="20"/>
      <x:c r="H131" s="20"/>
      <x:c r="I131" s="20"/>
      <x:c r="J131" s="20"/>
      <x:c r="K131" s="20"/>
      <x:c r="L131" s="20"/>
      <x:c r="M131" s="20"/>
      <x:c r="N131" s="20"/>
      <x:c r="O131" s="20"/>
      <x:c r="P131" s="23"/>
      <x:c r="Q131" s="20"/>
      <x:c r="R131" s="20"/>
      <x:c r="S131" s="20"/>
      <x:c r="T131" s="20"/>
      <x:c r="U131" s="23"/>
      <x:c r="V131" s="20"/>
      <x:c r="W131" s="20"/>
      <x:c r="X131" s="20"/>
      <x:c r="Y131" s="23"/>
    </x:row>
    <x:row r="132">
      <x:c r="A132" s="20"/>
      <x:c r="B132" s="20"/>
      <x:c r="C132" s="20"/>
      <x:c r="D132" s="20"/>
      <x:c r="E132" s="20"/>
      <x:c r="F132" s="20"/>
      <x:c r="G132" s="20"/>
      <x:c r="H132" s="20"/>
      <x:c r="I132" s="20"/>
      <x:c r="J132" s="20"/>
      <x:c r="K132" s="20"/>
      <x:c r="L132" s="20"/>
      <x:c r="M132" s="20"/>
      <x:c r="N132" s="20"/>
      <x:c r="O132" s="20"/>
      <x:c r="P132" s="23"/>
      <x:c r="Q132" s="20"/>
      <x:c r="R132" s="20"/>
      <x:c r="S132" s="20"/>
      <x:c r="T132" s="20"/>
      <x:c r="U132" s="23"/>
      <x:c r="V132" s="20"/>
      <x:c r="W132" s="20"/>
      <x:c r="X132" s="20"/>
      <x:c r="Y132" s="23"/>
    </x:row>
    <x:row r="133">
      <x:c r="A133" s="20"/>
      <x:c r="B133" s="20"/>
      <x:c r="C133" s="20"/>
      <x:c r="D133" s="20"/>
      <x:c r="E133" s="20"/>
      <x:c r="F133" s="20"/>
      <x:c r="G133" s="20"/>
      <x:c r="H133" s="20"/>
      <x:c r="I133" s="20"/>
      <x:c r="J133" s="20"/>
      <x:c r="K133" s="20"/>
      <x:c r="L133" s="20"/>
      <x:c r="M133" s="20"/>
      <x:c r="N133" s="20"/>
      <x:c r="O133" s="20"/>
      <x:c r="P133" s="23"/>
      <x:c r="Q133" s="20"/>
      <x:c r="R133" s="20"/>
      <x:c r="S133" s="20"/>
      <x:c r="T133" s="20"/>
      <x:c r="U133" s="23"/>
      <x:c r="V133" s="20"/>
      <x:c r="W133" s="20"/>
      <x:c r="X133" s="20"/>
      <x:c r="Y133" s="23"/>
    </x:row>
    <x:row r="134">
      <x:c r="A134" s="20"/>
      <x:c r="B134" s="20"/>
      <x:c r="C134" s="20"/>
      <x:c r="D134" s="20"/>
      <x:c r="E134" s="20"/>
      <x:c r="F134" s="20"/>
      <x:c r="G134" s="20"/>
      <x:c r="H134" s="20"/>
      <x:c r="I134" s="20"/>
      <x:c r="J134" s="20"/>
      <x:c r="K134" s="20"/>
      <x:c r="L134" s="20"/>
      <x:c r="M134" s="20"/>
      <x:c r="N134" s="20"/>
      <x:c r="O134" s="20"/>
      <x:c r="P134" s="23"/>
      <x:c r="Q134" s="20"/>
      <x:c r="R134" s="20"/>
      <x:c r="S134" s="20"/>
      <x:c r="T134" s="20"/>
      <x:c r="U134" s="23"/>
      <x:c r="V134" s="20"/>
      <x:c r="W134" s="20"/>
      <x:c r="X134" s="20"/>
      <x:c r="Y134" s="23"/>
    </x:row>
    <x:row r="135">
      <x:c r="A135" s="20"/>
      <x:c r="B135" s="20"/>
      <x:c r="C135" s="20"/>
      <x:c r="D135" s="20"/>
      <x:c r="E135" s="20"/>
      <x:c r="F135" s="20"/>
      <x:c r="G135" s="20"/>
      <x:c r="H135" s="20"/>
      <x:c r="I135" s="20"/>
      <x:c r="J135" s="20"/>
      <x:c r="K135" s="20"/>
      <x:c r="L135" s="20"/>
      <x:c r="M135" s="20"/>
      <x:c r="N135" s="20"/>
      <x:c r="O135" s="20"/>
      <x:c r="P135" s="23"/>
      <x:c r="Q135" s="20"/>
      <x:c r="R135" s="20"/>
      <x:c r="S135" s="20"/>
      <x:c r="T135" s="20"/>
      <x:c r="U135" s="23"/>
      <x:c r="V135" s="20"/>
      <x:c r="W135" s="20"/>
      <x:c r="X135" s="20"/>
      <x:c r="Y135" s="23"/>
    </x:row>
    <x:row r="136">
      <x:c r="A136" s="20"/>
      <x:c r="B136" s="20"/>
      <x:c r="C136" s="20"/>
      <x:c r="D136" s="20"/>
      <x:c r="E136" s="20"/>
      <x:c r="F136" s="20"/>
      <x:c r="G136" s="20"/>
      <x:c r="H136" s="20"/>
      <x:c r="I136" s="20"/>
      <x:c r="J136" s="20"/>
      <x:c r="K136" s="20"/>
      <x:c r="L136" s="20"/>
      <x:c r="M136" s="20"/>
      <x:c r="N136" s="20"/>
      <x:c r="O136" s="20"/>
      <x:c r="P136" s="23"/>
      <x:c r="Q136" s="20"/>
      <x:c r="R136" s="20"/>
      <x:c r="S136" s="20"/>
      <x:c r="T136" s="20"/>
      <x:c r="U136" s="23"/>
      <x:c r="V136" s="20"/>
      <x:c r="W136" s="20"/>
      <x:c r="X136" s="20"/>
      <x:c r="Y136" s="23"/>
    </x:row>
    <x:row r="137">
      <x:c r="A137" s="20"/>
      <x:c r="B137" s="20"/>
      <x:c r="C137" s="20"/>
      <x:c r="D137" s="20"/>
      <x:c r="E137" s="20"/>
      <x:c r="F137" s="20"/>
      <x:c r="G137" s="20"/>
      <x:c r="H137" s="20"/>
      <x:c r="I137" s="20"/>
      <x:c r="J137" s="20"/>
      <x:c r="K137" s="20"/>
      <x:c r="L137" s="20"/>
      <x:c r="M137" s="20"/>
      <x:c r="N137" s="20"/>
      <x:c r="O137" s="20"/>
      <x:c r="P137" s="23"/>
      <x:c r="Q137" s="20"/>
      <x:c r="R137" s="20"/>
      <x:c r="S137" s="20"/>
      <x:c r="T137" s="20"/>
      <x:c r="U137" s="23"/>
      <x:c r="V137" s="20"/>
      <x:c r="W137" s="20"/>
      <x:c r="X137" s="20"/>
      <x:c r="Y137" s="23"/>
    </x:row>
    <x:row r="138">
      <x:c r="A138" s="20"/>
      <x:c r="B138" s="20"/>
      <x:c r="C138" s="20"/>
      <x:c r="D138" s="20"/>
      <x:c r="E138" s="20"/>
      <x:c r="F138" s="20"/>
      <x:c r="G138" s="20"/>
      <x:c r="H138" s="20"/>
      <x:c r="I138" s="20"/>
      <x:c r="J138" s="20"/>
      <x:c r="K138" s="20"/>
      <x:c r="L138" s="20"/>
      <x:c r="M138" s="20"/>
      <x:c r="N138" s="20"/>
      <x:c r="O138" s="20"/>
      <x:c r="P138" s="23"/>
      <x:c r="Q138" s="20"/>
      <x:c r="R138" s="20"/>
      <x:c r="S138" s="20"/>
      <x:c r="T138" s="20"/>
      <x:c r="U138" s="23"/>
      <x:c r="V138" s="20"/>
      <x:c r="W138" s="20"/>
      <x:c r="X138" s="20"/>
      <x:c r="Y138" s="23"/>
    </x:row>
    <x:row r="139">
      <x:c r="A139" s="20"/>
      <x:c r="B139" s="20"/>
      <x:c r="C139" s="20"/>
      <x:c r="D139" s="20"/>
      <x:c r="E139" s="20"/>
      <x:c r="F139" s="20"/>
      <x:c r="G139" s="20"/>
      <x:c r="H139" s="20"/>
      <x:c r="I139" s="20"/>
      <x:c r="J139" s="20"/>
      <x:c r="K139" s="20"/>
      <x:c r="L139" s="20"/>
      <x:c r="M139" s="20"/>
      <x:c r="N139" s="20"/>
      <x:c r="O139" s="20"/>
      <x:c r="P139" s="23"/>
      <x:c r="Q139" s="20"/>
      <x:c r="R139" s="20"/>
      <x:c r="S139" s="20"/>
      <x:c r="T139" s="20"/>
      <x:c r="U139" s="23"/>
      <x:c r="V139" s="20"/>
      <x:c r="W139" s="20"/>
      <x:c r="X139" s="20"/>
      <x:c r="Y139" s="23"/>
    </x:row>
    <x:row r="140">
      <x:c r="A140" s="20"/>
      <x:c r="B140" s="20"/>
      <x:c r="C140" s="20"/>
      <x:c r="D140" s="20"/>
      <x:c r="E140" s="20"/>
      <x:c r="F140" s="20"/>
      <x:c r="G140" s="20"/>
      <x:c r="H140" s="20"/>
      <x:c r="I140" s="20"/>
      <x:c r="J140" s="20"/>
      <x:c r="K140" s="20"/>
      <x:c r="L140" s="20"/>
      <x:c r="M140" s="20"/>
      <x:c r="N140" s="20"/>
      <x:c r="O140" s="20"/>
      <x:c r="P140" s="23"/>
      <x:c r="Q140" s="20"/>
      <x:c r="R140" s="20"/>
      <x:c r="S140" s="20"/>
      <x:c r="T140" s="20"/>
      <x:c r="U140" s="23"/>
      <x:c r="V140" s="20"/>
      <x:c r="W140" s="20"/>
      <x:c r="X140" s="20"/>
      <x:c r="Y140" s="23"/>
    </x:row>
    <x:row r="141">
      <x:c r="A141" s="20"/>
      <x:c r="B141" s="20"/>
      <x:c r="C141" s="20"/>
      <x:c r="D141" s="20"/>
      <x:c r="E141" s="20"/>
      <x:c r="F141" s="20"/>
      <x:c r="G141" s="20"/>
      <x:c r="H141" s="20"/>
      <x:c r="I141" s="20"/>
      <x:c r="J141" s="20"/>
      <x:c r="K141" s="20"/>
      <x:c r="L141" s="20"/>
      <x:c r="M141" s="20"/>
      <x:c r="N141" s="20"/>
      <x:c r="O141" s="20"/>
      <x:c r="P141" s="23"/>
      <x:c r="Q141" s="20"/>
      <x:c r="R141" s="20"/>
      <x:c r="S141" s="20"/>
      <x:c r="T141" s="20"/>
      <x:c r="U141" s="23"/>
      <x:c r="V141" s="20"/>
      <x:c r="W141" s="20"/>
      <x:c r="X141" s="20"/>
      <x:c r="Y141" s="23"/>
    </x:row>
    <x:row r="142">
      <x:c r="A142" s="20"/>
      <x:c r="B142" s="20"/>
      <x:c r="C142" s="20"/>
      <x:c r="D142" s="20"/>
      <x:c r="E142" s="20"/>
      <x:c r="F142" s="20"/>
      <x:c r="G142" s="20"/>
      <x:c r="H142" s="20"/>
      <x:c r="I142" s="20"/>
      <x:c r="J142" s="20"/>
      <x:c r="K142" s="20"/>
      <x:c r="L142" s="20"/>
      <x:c r="M142" s="20"/>
      <x:c r="N142" s="20"/>
      <x:c r="O142" s="20"/>
      <x:c r="P142" s="23"/>
      <x:c r="Q142" s="20"/>
      <x:c r="R142" s="20"/>
      <x:c r="S142" s="20"/>
      <x:c r="T142" s="20"/>
      <x:c r="U142" s="23"/>
      <x:c r="V142" s="20"/>
      <x:c r="W142" s="20"/>
      <x:c r="X142" s="20"/>
      <x:c r="Y142" s="23"/>
    </x:row>
    <x:row r="143">
      <x:c r="A143" s="20"/>
      <x:c r="B143" s="20"/>
      <x:c r="C143" s="20"/>
      <x:c r="D143" s="20"/>
      <x:c r="E143" s="20"/>
      <x:c r="F143" s="20"/>
      <x:c r="G143" s="20"/>
      <x:c r="H143" s="20"/>
      <x:c r="I143" s="20"/>
      <x:c r="J143" s="20"/>
      <x:c r="K143" s="20"/>
      <x:c r="L143" s="20"/>
      <x:c r="M143" s="20"/>
      <x:c r="N143" s="20"/>
      <x:c r="O143" s="20"/>
      <x:c r="P143" s="23"/>
      <x:c r="Q143" s="20"/>
      <x:c r="R143" s="20"/>
      <x:c r="S143" s="20"/>
      <x:c r="T143" s="20"/>
      <x:c r="U143" s="23"/>
      <x:c r="V143" s="20"/>
      <x:c r="W143" s="20"/>
      <x:c r="X143" s="20"/>
      <x:c r="Y143" s="23"/>
    </x:row>
    <x:row r="144">
      <x:c r="A144" s="20"/>
      <x:c r="B144" s="20"/>
      <x:c r="C144" s="20"/>
      <x:c r="D144" s="20"/>
      <x:c r="E144" s="20"/>
      <x:c r="F144" s="20"/>
      <x:c r="G144" s="20"/>
      <x:c r="H144" s="20"/>
      <x:c r="I144" s="20"/>
      <x:c r="J144" s="20"/>
      <x:c r="K144" s="20"/>
      <x:c r="L144" s="20"/>
      <x:c r="M144" s="20"/>
      <x:c r="N144" s="20"/>
      <x:c r="O144" s="20"/>
      <x:c r="P144" s="23"/>
      <x:c r="Q144" s="20"/>
      <x:c r="R144" s="20"/>
      <x:c r="S144" s="20"/>
      <x:c r="T144" s="20"/>
      <x:c r="U144" s="23"/>
      <x:c r="V144" s="20"/>
      <x:c r="W144" s="20"/>
      <x:c r="X144" s="20"/>
      <x:c r="Y144" s="23"/>
    </x:row>
    <x:row r="145">
      <x:c r="A145" s="20"/>
      <x:c r="B145" s="20"/>
      <x:c r="C145" s="20"/>
      <x:c r="D145" s="20"/>
      <x:c r="E145" s="20"/>
      <x:c r="F145" s="20"/>
      <x:c r="G145" s="20"/>
      <x:c r="H145" s="20"/>
      <x:c r="I145" s="20"/>
      <x:c r="J145" s="20"/>
      <x:c r="K145" s="20"/>
      <x:c r="L145" s="20"/>
      <x:c r="M145" s="20"/>
      <x:c r="N145" s="20"/>
      <x:c r="O145" s="20"/>
      <x:c r="P145" s="23"/>
      <x:c r="Q145" s="20"/>
      <x:c r="R145" s="20"/>
      <x:c r="S145" s="20"/>
      <x:c r="T145" s="20"/>
      <x:c r="U145" s="23"/>
      <x:c r="V145" s="20"/>
      <x:c r="W145" s="20"/>
      <x:c r="X145" s="20"/>
      <x:c r="Y145" s="23"/>
    </x:row>
    <x:row r="146">
      <x:c r="A146" s="20"/>
      <x:c r="B146" s="20"/>
      <x:c r="C146" s="20"/>
      <x:c r="D146" s="20"/>
      <x:c r="E146" s="20"/>
      <x:c r="F146" s="20"/>
      <x:c r="G146" s="20"/>
      <x:c r="H146" s="20"/>
      <x:c r="I146" s="20"/>
      <x:c r="J146" s="20"/>
      <x:c r="K146" s="20"/>
      <x:c r="L146" s="20"/>
      <x:c r="M146" s="20"/>
      <x:c r="N146" s="20"/>
      <x:c r="O146" s="20"/>
      <x:c r="P146" s="23"/>
      <x:c r="Q146" s="20"/>
      <x:c r="R146" s="20"/>
      <x:c r="S146" s="20"/>
      <x:c r="T146" s="20"/>
      <x:c r="U146" s="23"/>
      <x:c r="V146" s="20"/>
      <x:c r="W146" s="20"/>
      <x:c r="X146" s="20"/>
      <x:c r="Y146" s="23"/>
    </x:row>
    <x:row r="147">
      <x:c r="A147" s="20"/>
      <x:c r="B147" s="20"/>
      <x:c r="C147" s="20"/>
      <x:c r="D147" s="20"/>
      <x:c r="E147" s="20"/>
      <x:c r="F147" s="20"/>
      <x:c r="G147" s="20"/>
      <x:c r="H147" s="20"/>
      <x:c r="I147" s="20"/>
      <x:c r="J147" s="20"/>
      <x:c r="K147" s="20"/>
      <x:c r="L147" s="20"/>
      <x:c r="M147" s="20"/>
      <x:c r="N147" s="20"/>
      <x:c r="O147" s="20"/>
      <x:c r="P147" s="23"/>
      <x:c r="Q147" s="20"/>
      <x:c r="R147" s="20"/>
      <x:c r="S147" s="20"/>
      <x:c r="T147" s="20"/>
      <x:c r="U147" s="23"/>
      <x:c r="V147" s="20"/>
      <x:c r="W147" s="20"/>
      <x:c r="X147" s="20"/>
      <x:c r="Y147" s="23"/>
    </x:row>
    <x:row r="148">
      <x:c r="A148" s="20"/>
      <x:c r="B148" s="20"/>
      <x:c r="C148" s="20"/>
      <x:c r="D148" s="20"/>
      <x:c r="E148" s="20"/>
      <x:c r="F148" s="20"/>
      <x:c r="G148" s="20"/>
      <x:c r="H148" s="20"/>
      <x:c r="I148" s="20"/>
      <x:c r="J148" s="20"/>
      <x:c r="K148" s="20"/>
      <x:c r="L148" s="20"/>
      <x:c r="M148" s="20"/>
      <x:c r="N148" s="20"/>
      <x:c r="O148" s="20"/>
      <x:c r="P148" s="23"/>
      <x:c r="Q148" s="20"/>
      <x:c r="R148" s="20"/>
      <x:c r="S148" s="20"/>
      <x:c r="T148" s="20"/>
      <x:c r="U148" s="23"/>
      <x:c r="V148" s="20"/>
      <x:c r="W148" s="20"/>
      <x:c r="X148" s="20"/>
      <x:c r="Y148" s="23"/>
    </x:row>
    <x:row r="149">
      <x:c r="A149" s="20"/>
      <x:c r="B149" s="20"/>
      <x:c r="C149" s="20"/>
      <x:c r="D149" s="20"/>
      <x:c r="E149" s="20"/>
      <x:c r="F149" s="20"/>
      <x:c r="G149" s="20"/>
      <x:c r="H149" s="20"/>
      <x:c r="I149" s="20"/>
      <x:c r="J149" s="20"/>
      <x:c r="K149" s="20"/>
      <x:c r="L149" s="20"/>
      <x:c r="M149" s="20"/>
      <x:c r="N149" s="20"/>
      <x:c r="O149" s="20"/>
      <x:c r="P149" s="23"/>
      <x:c r="Q149" s="20"/>
      <x:c r="R149" s="20"/>
      <x:c r="S149" s="20"/>
      <x:c r="T149" s="20"/>
      <x:c r="U149" s="23"/>
      <x:c r="V149" s="20"/>
      <x:c r="W149" s="20"/>
      <x:c r="X149" s="20"/>
      <x:c r="Y149" s="23"/>
    </x:row>
    <x:row r="150">
      <x:c r="A150" s="20"/>
      <x:c r="B150" s="20"/>
      <x:c r="C150" s="20"/>
      <x:c r="D150" s="20"/>
      <x:c r="E150" s="20"/>
      <x:c r="F150" s="20"/>
      <x:c r="G150" s="20"/>
      <x:c r="H150" s="20"/>
      <x:c r="I150" s="20"/>
      <x:c r="J150" s="20"/>
      <x:c r="K150" s="20"/>
      <x:c r="L150" s="20"/>
      <x:c r="M150" s="20"/>
      <x:c r="N150" s="20"/>
      <x:c r="O150" s="20"/>
      <x:c r="P150" s="23"/>
      <x:c r="Q150" s="20"/>
      <x:c r="R150" s="20"/>
      <x:c r="S150" s="20"/>
      <x:c r="T150" s="20"/>
      <x:c r="U150" s="23"/>
      <x:c r="V150" s="20"/>
      <x:c r="W150" s="20"/>
      <x:c r="X150" s="20"/>
      <x:c r="Y150" s="23"/>
    </x:row>
    <x:row r="151">
      <x:c r="A151" s="20"/>
      <x:c r="B151" s="20"/>
      <x:c r="C151" s="20"/>
      <x:c r="D151" s="20"/>
      <x:c r="E151" s="20"/>
      <x:c r="F151" s="20"/>
      <x:c r="G151" s="20"/>
      <x:c r="H151" s="20"/>
      <x:c r="I151" s="20"/>
      <x:c r="J151" s="20"/>
      <x:c r="K151" s="20"/>
      <x:c r="L151" s="20"/>
      <x:c r="M151" s="20"/>
      <x:c r="N151" s="20"/>
      <x:c r="O151" s="20"/>
      <x:c r="P151" s="23"/>
      <x:c r="Q151" s="20"/>
      <x:c r="R151" s="20"/>
      <x:c r="S151" s="20"/>
      <x:c r="T151" s="20"/>
      <x:c r="U151" s="23"/>
      <x:c r="V151" s="20"/>
      <x:c r="W151" s="20"/>
      <x:c r="X151" s="20"/>
      <x:c r="Y151" s="23"/>
    </x:row>
    <x:row r="152">
      <x:c r="A152" s="20"/>
      <x:c r="B152" s="20"/>
      <x:c r="C152" s="20"/>
      <x:c r="D152" s="20"/>
      <x:c r="E152" s="20"/>
      <x:c r="F152" s="20"/>
      <x:c r="G152" s="20"/>
      <x:c r="H152" s="20"/>
      <x:c r="I152" s="20"/>
      <x:c r="J152" s="20"/>
      <x:c r="K152" s="20"/>
      <x:c r="L152" s="20"/>
      <x:c r="M152" s="20"/>
      <x:c r="N152" s="20"/>
      <x:c r="O152" s="20"/>
      <x:c r="P152" s="23"/>
      <x:c r="Q152" s="20"/>
      <x:c r="R152" s="20"/>
      <x:c r="S152" s="20"/>
      <x:c r="T152" s="20"/>
      <x:c r="U152" s="23"/>
      <x:c r="V152" s="20"/>
      <x:c r="W152" s="20"/>
      <x:c r="X152" s="20"/>
      <x:c r="Y152" s="23"/>
    </x:row>
    <x:row r="153">
      <x:c r="A153" s="20"/>
      <x:c r="B153" s="20"/>
      <x:c r="C153" s="20"/>
      <x:c r="D153" s="20"/>
      <x:c r="E153" s="20"/>
      <x:c r="F153" s="20"/>
      <x:c r="G153" s="20"/>
      <x:c r="H153" s="20"/>
      <x:c r="I153" s="20"/>
      <x:c r="J153" s="20"/>
      <x:c r="K153" s="20"/>
      <x:c r="L153" s="20"/>
      <x:c r="M153" s="20"/>
      <x:c r="N153" s="20"/>
      <x:c r="O153" s="20"/>
      <x:c r="P153" s="23"/>
      <x:c r="Q153" s="20"/>
      <x:c r="R153" s="20"/>
      <x:c r="S153" s="20"/>
      <x:c r="T153" s="20"/>
      <x:c r="U153" s="23"/>
      <x:c r="V153" s="20"/>
      <x:c r="W153" s="20"/>
      <x:c r="X153" s="20"/>
      <x:c r="Y153" s="23"/>
    </x:row>
    <x:row r="154">
      <x:c r="A154" s="20"/>
      <x:c r="B154" s="20"/>
      <x:c r="C154" s="20"/>
      <x:c r="D154" s="20"/>
      <x:c r="E154" s="20"/>
      <x:c r="F154" s="20"/>
      <x:c r="G154" s="20"/>
      <x:c r="H154" s="20"/>
      <x:c r="I154" s="20"/>
      <x:c r="J154" s="20"/>
      <x:c r="K154" s="20"/>
      <x:c r="L154" s="20"/>
      <x:c r="M154" s="20"/>
      <x:c r="N154" s="20"/>
      <x:c r="O154" s="20"/>
      <x:c r="P154" s="23"/>
      <x:c r="Q154" s="20"/>
      <x:c r="R154" s="20"/>
      <x:c r="S154" s="20"/>
      <x:c r="T154" s="20"/>
      <x:c r="U154" s="23"/>
      <x:c r="V154" s="20"/>
      <x:c r="W154" s="20"/>
      <x:c r="X154" s="20"/>
      <x:c r="Y154" s="23"/>
    </x:row>
    <x:row r="155">
      <x:c r="A155" s="20"/>
      <x:c r="B155" s="20"/>
      <x:c r="C155" s="20"/>
      <x:c r="D155" s="20"/>
      <x:c r="E155" s="20"/>
      <x:c r="F155" s="20"/>
      <x:c r="G155" s="20"/>
      <x:c r="H155" s="20"/>
      <x:c r="I155" s="20"/>
      <x:c r="J155" s="20"/>
      <x:c r="K155" s="20"/>
      <x:c r="L155" s="20"/>
      <x:c r="M155" s="20"/>
      <x:c r="N155" s="20"/>
      <x:c r="O155" s="20"/>
      <x:c r="P155" s="23"/>
      <x:c r="Q155" s="20"/>
      <x:c r="R155" s="20"/>
      <x:c r="S155" s="20"/>
      <x:c r="T155" s="20"/>
      <x:c r="U155" s="23"/>
      <x:c r="V155" s="20"/>
      <x:c r="W155" s="20"/>
      <x:c r="X155" s="20"/>
      <x:c r="Y155" s="23"/>
    </x:row>
    <x:row r="156">
      <x:c r="A156" s="20"/>
      <x:c r="B156" s="20"/>
      <x:c r="C156" s="20"/>
      <x:c r="D156" s="20"/>
      <x:c r="E156" s="20"/>
      <x:c r="F156" s="20"/>
      <x:c r="G156" s="20"/>
      <x:c r="H156" s="20"/>
      <x:c r="I156" s="20"/>
      <x:c r="J156" s="20"/>
      <x:c r="K156" s="20"/>
      <x:c r="L156" s="20"/>
      <x:c r="M156" s="20"/>
      <x:c r="N156" s="20"/>
      <x:c r="O156" s="20"/>
      <x:c r="P156" s="23"/>
      <x:c r="Q156" s="20"/>
      <x:c r="R156" s="20"/>
      <x:c r="S156" s="20"/>
      <x:c r="T156" s="20"/>
      <x:c r="U156" s="23"/>
      <x:c r="V156" s="20"/>
      <x:c r="W156" s="20"/>
      <x:c r="X156" s="20"/>
      <x:c r="Y156" s="23"/>
    </x:row>
    <x:row r="157">
      <x:c r="A157" s="20"/>
      <x:c r="B157" s="20"/>
      <x:c r="C157" s="20"/>
      <x:c r="D157" s="20"/>
      <x:c r="E157" s="20"/>
      <x:c r="F157" s="20"/>
      <x:c r="G157" s="20"/>
      <x:c r="H157" s="20"/>
      <x:c r="I157" s="20"/>
      <x:c r="J157" s="20"/>
      <x:c r="K157" s="20"/>
      <x:c r="L157" s="20"/>
      <x:c r="M157" s="20"/>
      <x:c r="N157" s="20"/>
      <x:c r="O157" s="20"/>
      <x:c r="P157" s="23"/>
      <x:c r="Q157" s="20"/>
      <x:c r="R157" s="20"/>
      <x:c r="S157" s="20"/>
      <x:c r="T157" s="20"/>
      <x:c r="U157" s="23"/>
      <x:c r="V157" s="20"/>
      <x:c r="W157" s="20"/>
      <x:c r="X157" s="20"/>
      <x:c r="Y157" s="23"/>
    </x:row>
    <x:row r="158">
      <x:c r="A158" s="20"/>
      <x:c r="B158" s="20"/>
      <x:c r="C158" s="20"/>
      <x:c r="D158" s="20"/>
      <x:c r="E158" s="20"/>
      <x:c r="F158" s="20"/>
      <x:c r="G158" s="20"/>
      <x:c r="H158" s="20"/>
      <x:c r="I158" s="20"/>
      <x:c r="J158" s="20"/>
      <x:c r="K158" s="20"/>
      <x:c r="L158" s="20"/>
      <x:c r="M158" s="20"/>
      <x:c r="N158" s="20"/>
      <x:c r="O158" s="20"/>
      <x:c r="P158" s="23"/>
      <x:c r="Q158" s="20"/>
      <x:c r="R158" s="20"/>
      <x:c r="S158" s="20"/>
      <x:c r="T158" s="20"/>
      <x:c r="U158" s="23"/>
      <x:c r="V158" s="20"/>
      <x:c r="W158" s="20"/>
      <x:c r="X158" s="20"/>
      <x:c r="Y158" s="23"/>
    </x:row>
    <x:row r="159">
      <x:c r="A159" s="20"/>
      <x:c r="B159" s="20"/>
      <x:c r="C159" s="20"/>
      <x:c r="D159" s="20"/>
      <x:c r="E159" s="20"/>
      <x:c r="F159" s="20"/>
      <x:c r="G159" s="20"/>
      <x:c r="H159" s="20"/>
      <x:c r="I159" s="20"/>
      <x:c r="J159" s="20"/>
      <x:c r="K159" s="20"/>
      <x:c r="L159" s="20"/>
      <x:c r="M159" s="20"/>
      <x:c r="N159" s="20"/>
      <x:c r="O159" s="20"/>
      <x:c r="P159" s="23"/>
      <x:c r="Q159" s="20"/>
      <x:c r="R159" s="20"/>
      <x:c r="S159" s="20"/>
      <x:c r="T159" s="20"/>
      <x:c r="U159" s="23"/>
      <x:c r="V159" s="20"/>
      <x:c r="W159" s="20"/>
      <x:c r="X159" s="20"/>
      <x:c r="Y159" s="23"/>
    </x:row>
    <x:row r="160">
      <x:c r="A160" s="20"/>
      <x:c r="B160" s="20"/>
      <x:c r="C160" s="20"/>
      <x:c r="D160" s="20"/>
      <x:c r="E160" s="20"/>
      <x:c r="F160" s="20"/>
      <x:c r="G160" s="20"/>
      <x:c r="H160" s="20"/>
      <x:c r="I160" s="20"/>
      <x:c r="J160" s="20"/>
      <x:c r="K160" s="20"/>
      <x:c r="L160" s="20"/>
      <x:c r="M160" s="20"/>
      <x:c r="N160" s="20"/>
      <x:c r="O160" s="20"/>
      <x:c r="P160" s="23"/>
      <x:c r="Q160" s="20"/>
      <x:c r="R160" s="20"/>
      <x:c r="S160" s="20"/>
      <x:c r="T160" s="20"/>
      <x:c r="U160" s="23"/>
      <x:c r="V160" s="20"/>
      <x:c r="W160" s="20"/>
      <x:c r="X160" s="20"/>
      <x:c r="Y160" s="23"/>
    </x:row>
    <x:row r="161">
      <x:c r="A161" s="20"/>
      <x:c r="B161" s="20"/>
      <x:c r="C161" s="20"/>
      <x:c r="D161" s="20"/>
      <x:c r="E161" s="20"/>
      <x:c r="F161" s="20"/>
      <x:c r="G161" s="20"/>
      <x:c r="H161" s="20"/>
      <x:c r="I161" s="20"/>
      <x:c r="J161" s="20"/>
      <x:c r="K161" s="20"/>
      <x:c r="L161" s="20"/>
      <x:c r="M161" s="20"/>
      <x:c r="N161" s="20"/>
      <x:c r="O161" s="20"/>
      <x:c r="P161" s="23"/>
      <x:c r="Q161" s="20"/>
      <x:c r="R161" s="20"/>
      <x:c r="S161" s="20"/>
      <x:c r="T161" s="20"/>
      <x:c r="U161" s="23"/>
      <x:c r="V161" s="20"/>
      <x:c r="W161" s="20"/>
      <x:c r="X161" s="20"/>
      <x:c r="Y161" s="23"/>
    </x:row>
    <x:row r="162">
      <x:c r="A162" s="20"/>
      <x:c r="B162" s="20"/>
      <x:c r="C162" s="20"/>
      <x:c r="D162" s="20"/>
      <x:c r="E162" s="20"/>
      <x:c r="F162" s="20"/>
      <x:c r="G162" s="20"/>
      <x:c r="H162" s="20"/>
      <x:c r="I162" s="20"/>
      <x:c r="J162" s="20"/>
      <x:c r="K162" s="20"/>
      <x:c r="L162" s="20"/>
      <x:c r="M162" s="20"/>
      <x:c r="N162" s="20"/>
      <x:c r="O162" s="20"/>
      <x:c r="P162" s="23"/>
      <x:c r="Q162" s="20"/>
      <x:c r="R162" s="20"/>
      <x:c r="S162" s="20"/>
      <x:c r="T162" s="20"/>
      <x:c r="U162" s="23"/>
      <x:c r="V162" s="20"/>
      <x:c r="W162" s="20"/>
      <x:c r="X162" s="20"/>
      <x:c r="Y162" s="23"/>
    </x:row>
    <x:row r="163">
      <x:c r="A163" s="20"/>
      <x:c r="B163" s="20"/>
      <x:c r="C163" s="20"/>
      <x:c r="D163" s="20"/>
      <x:c r="E163" s="20"/>
      <x:c r="F163" s="20"/>
      <x:c r="G163" s="20"/>
      <x:c r="H163" s="20"/>
      <x:c r="I163" s="20"/>
      <x:c r="J163" s="20"/>
      <x:c r="K163" s="20"/>
      <x:c r="L163" s="20"/>
      <x:c r="M163" s="20"/>
      <x:c r="N163" s="20"/>
      <x:c r="O163" s="20"/>
      <x:c r="P163" s="23"/>
      <x:c r="Q163" s="20"/>
      <x:c r="R163" s="20"/>
      <x:c r="S163" s="20"/>
      <x:c r="T163" s="20"/>
      <x:c r="U163" s="23"/>
      <x:c r="V163" s="20"/>
      <x:c r="W163" s="20"/>
      <x:c r="X163" s="20"/>
      <x:c r="Y163" s="23"/>
    </x:row>
    <x:row r="164">
      <x:c r="A164" s="20"/>
      <x:c r="B164" s="20"/>
      <x:c r="C164" s="20"/>
      <x:c r="D164" s="20"/>
      <x:c r="E164" s="20"/>
      <x:c r="F164" s="20"/>
      <x:c r="G164" s="20"/>
      <x:c r="H164" s="20"/>
      <x:c r="I164" s="20"/>
      <x:c r="J164" s="20"/>
      <x:c r="K164" s="20"/>
      <x:c r="L164" s="20"/>
      <x:c r="M164" s="20"/>
      <x:c r="N164" s="20"/>
      <x:c r="O164" s="20"/>
      <x:c r="P164" s="23"/>
      <x:c r="Q164" s="20"/>
      <x:c r="R164" s="20"/>
      <x:c r="S164" s="20"/>
      <x:c r="T164" s="20"/>
      <x:c r="U164" s="23"/>
      <x:c r="V164" s="20"/>
      <x:c r="W164" s="20"/>
      <x:c r="X164" s="20"/>
      <x:c r="Y164" s="23"/>
    </x:row>
    <x:row r="165">
      <x:c r="A165" s="20"/>
      <x:c r="B165" s="20"/>
      <x:c r="C165" s="20"/>
      <x:c r="D165" s="20"/>
      <x:c r="E165" s="20"/>
      <x:c r="F165" s="20"/>
      <x:c r="G165" s="20"/>
      <x:c r="H165" s="20"/>
      <x:c r="I165" s="20"/>
      <x:c r="J165" s="20"/>
      <x:c r="K165" s="20"/>
      <x:c r="L165" s="20"/>
      <x:c r="M165" s="20"/>
      <x:c r="N165" s="20"/>
      <x:c r="O165" s="20"/>
      <x:c r="P165" s="23"/>
      <x:c r="Q165" s="20"/>
      <x:c r="R165" s="20"/>
      <x:c r="S165" s="20"/>
      <x:c r="T165" s="20"/>
      <x:c r="U165" s="23"/>
      <x:c r="V165" s="20"/>
      <x:c r="W165" s="20"/>
      <x:c r="X165" s="20"/>
      <x:c r="Y165" s="23"/>
    </x:row>
    <x:row r="166">
      <x:c r="A166" s="20"/>
      <x:c r="B166" s="20"/>
      <x:c r="C166" s="20"/>
      <x:c r="D166" s="20"/>
      <x:c r="E166" s="20"/>
      <x:c r="F166" s="20"/>
      <x:c r="G166" s="20"/>
      <x:c r="H166" s="20"/>
      <x:c r="I166" s="20"/>
      <x:c r="J166" s="20"/>
      <x:c r="K166" s="20"/>
      <x:c r="L166" s="20"/>
      <x:c r="M166" s="20"/>
      <x:c r="N166" s="20"/>
      <x:c r="O166" s="20"/>
      <x:c r="P166" s="23"/>
      <x:c r="Q166" s="20"/>
      <x:c r="R166" s="20"/>
      <x:c r="S166" s="20"/>
      <x:c r="T166" s="20"/>
      <x:c r="U166" s="23"/>
      <x:c r="V166" s="20"/>
      <x:c r="W166" s="20"/>
      <x:c r="X166" s="20"/>
      <x:c r="Y166" s="23"/>
    </x:row>
    <x:row r="167">
      <x:c r="A167" s="20"/>
      <x:c r="B167" s="20"/>
      <x:c r="C167" s="20"/>
      <x:c r="D167" s="20"/>
      <x:c r="E167" s="20"/>
      <x:c r="F167" s="20"/>
      <x:c r="G167" s="20"/>
      <x:c r="H167" s="20"/>
      <x:c r="I167" s="20"/>
      <x:c r="J167" s="20"/>
      <x:c r="K167" s="20"/>
      <x:c r="L167" s="20"/>
      <x:c r="M167" s="20"/>
      <x:c r="N167" s="20"/>
      <x:c r="O167" s="20"/>
      <x:c r="P167" s="23"/>
      <x:c r="Q167" s="20"/>
      <x:c r="R167" s="20"/>
      <x:c r="S167" s="20"/>
      <x:c r="T167" s="20"/>
      <x:c r="U167" s="23"/>
      <x:c r="V167" s="20"/>
      <x:c r="W167" s="20"/>
      <x:c r="X167" s="20"/>
      <x:c r="Y167" s="23"/>
    </x:row>
    <x:row r="168">
      <x:c r="A168" s="20"/>
      <x:c r="B168" s="20"/>
      <x:c r="C168" s="20"/>
      <x:c r="D168" s="20"/>
      <x:c r="E168" s="20"/>
      <x:c r="F168" s="20"/>
      <x:c r="G168" s="20"/>
      <x:c r="H168" s="20"/>
      <x:c r="I168" s="20"/>
      <x:c r="J168" s="20"/>
      <x:c r="K168" s="20"/>
      <x:c r="L168" s="20"/>
      <x:c r="M168" s="20"/>
      <x:c r="N168" s="20"/>
      <x:c r="O168" s="20"/>
      <x:c r="P168" s="23"/>
      <x:c r="Q168" s="20"/>
      <x:c r="R168" s="20"/>
      <x:c r="S168" s="20"/>
      <x:c r="T168" s="20"/>
      <x:c r="U168" s="23"/>
      <x:c r="V168" s="20"/>
      <x:c r="W168" s="20"/>
      <x:c r="X168" s="20"/>
      <x:c r="Y168" s="23"/>
    </x:row>
    <x:row r="169">
      <x:c r="A169" s="20"/>
      <x:c r="B169" s="20"/>
      <x:c r="C169" s="20"/>
      <x:c r="D169" s="20"/>
      <x:c r="E169" s="20"/>
      <x:c r="F169" s="20"/>
      <x:c r="G169" s="20"/>
      <x:c r="H169" s="20"/>
      <x:c r="I169" s="20"/>
      <x:c r="J169" s="20"/>
      <x:c r="K169" s="20"/>
      <x:c r="L169" s="20"/>
      <x:c r="M169" s="20"/>
      <x:c r="N169" s="20"/>
      <x:c r="O169" s="20"/>
      <x:c r="P169" s="23"/>
      <x:c r="Q169" s="20"/>
      <x:c r="R169" s="20"/>
      <x:c r="S169" s="20"/>
      <x:c r="T169" s="20"/>
      <x:c r="U169" s="23"/>
      <x:c r="V169" s="20"/>
      <x:c r="W169" s="20"/>
      <x:c r="X169" s="20"/>
      <x:c r="Y169" s="23"/>
    </x:row>
    <x:row r="170">
      <x:c r="A170" s="20"/>
      <x:c r="B170" s="20"/>
      <x:c r="C170" s="20"/>
      <x:c r="D170" s="20"/>
      <x:c r="E170" s="20"/>
      <x:c r="F170" s="20"/>
      <x:c r="G170" s="20"/>
      <x:c r="H170" s="20"/>
      <x:c r="I170" s="20"/>
      <x:c r="J170" s="20"/>
      <x:c r="K170" s="20"/>
      <x:c r="L170" s="20"/>
      <x:c r="M170" s="20"/>
      <x:c r="N170" s="20"/>
      <x:c r="O170" s="20"/>
      <x:c r="P170" s="23"/>
      <x:c r="Q170" s="20"/>
      <x:c r="R170" s="20"/>
      <x:c r="S170" s="20"/>
      <x:c r="T170" s="20"/>
      <x:c r="U170" s="23"/>
      <x:c r="V170" s="20"/>
      <x:c r="W170" s="20"/>
      <x:c r="X170" s="20"/>
      <x:c r="Y170" s="23"/>
    </x:row>
    <x:row r="171">
      <x:c r="A171" s="20"/>
      <x:c r="B171" s="20"/>
      <x:c r="C171" s="20"/>
      <x:c r="D171" s="20"/>
      <x:c r="E171" s="20"/>
      <x:c r="F171" s="20"/>
      <x:c r="G171" s="20"/>
      <x:c r="H171" s="20"/>
      <x:c r="I171" s="20"/>
      <x:c r="J171" s="20"/>
      <x:c r="K171" s="20"/>
      <x:c r="L171" s="20"/>
      <x:c r="M171" s="20"/>
      <x:c r="N171" s="20"/>
      <x:c r="O171" s="20"/>
      <x:c r="P171" s="23"/>
      <x:c r="Q171" s="20"/>
      <x:c r="R171" s="20"/>
      <x:c r="S171" s="20"/>
      <x:c r="T171" s="20"/>
      <x:c r="U171" s="23"/>
      <x:c r="V171" s="20"/>
      <x:c r="W171" s="20"/>
      <x:c r="X171" s="20"/>
      <x:c r="Y171" s="23"/>
    </x:row>
    <x:row r="172">
      <x:c r="A172" s="20"/>
      <x:c r="B172" s="20"/>
      <x:c r="C172" s="20"/>
      <x:c r="D172" s="20"/>
      <x:c r="E172" s="20"/>
      <x:c r="F172" s="20"/>
      <x:c r="G172" s="20"/>
      <x:c r="H172" s="20"/>
      <x:c r="I172" s="20"/>
      <x:c r="J172" s="20"/>
      <x:c r="K172" s="20"/>
      <x:c r="L172" s="20"/>
      <x:c r="M172" s="20"/>
      <x:c r="N172" s="20"/>
      <x:c r="O172" s="20"/>
      <x:c r="P172" s="23"/>
      <x:c r="Q172" s="20"/>
      <x:c r="R172" s="20"/>
      <x:c r="S172" s="20"/>
      <x:c r="T172" s="20"/>
      <x:c r="U172" s="23"/>
      <x:c r="V172" s="20"/>
      <x:c r="W172" s="20"/>
      <x:c r="X172" s="20"/>
      <x:c r="Y172" s="23"/>
    </x:row>
    <x:row r="173">
      <x:c r="A173" s="20"/>
      <x:c r="B173" s="20"/>
      <x:c r="C173" s="20"/>
      <x:c r="D173" s="20"/>
      <x:c r="E173" s="20"/>
      <x:c r="F173" s="20"/>
      <x:c r="G173" s="20"/>
      <x:c r="H173" s="20"/>
      <x:c r="I173" s="20"/>
      <x:c r="J173" s="20"/>
      <x:c r="K173" s="20"/>
      <x:c r="L173" s="20"/>
      <x:c r="M173" s="20"/>
      <x:c r="N173" s="20"/>
      <x:c r="O173" s="20"/>
      <x:c r="P173" s="23"/>
      <x:c r="Q173" s="20"/>
      <x:c r="R173" s="20"/>
      <x:c r="S173" s="20"/>
      <x:c r="T173" s="20"/>
      <x:c r="U173" s="23"/>
      <x:c r="V173" s="20"/>
      <x:c r="W173" s="20"/>
      <x:c r="X173" s="20"/>
      <x:c r="Y173" s="23"/>
    </x:row>
    <x:row r="174">
      <x:c r="A174" s="20"/>
      <x:c r="B174" s="20"/>
      <x:c r="C174" s="20"/>
      <x:c r="D174" s="20"/>
      <x:c r="E174" s="20"/>
      <x:c r="F174" s="20"/>
      <x:c r="G174" s="20"/>
      <x:c r="H174" s="20"/>
      <x:c r="I174" s="20"/>
      <x:c r="J174" s="20"/>
      <x:c r="K174" s="20"/>
      <x:c r="L174" s="20"/>
      <x:c r="M174" s="20"/>
      <x:c r="N174" s="20"/>
      <x:c r="O174" s="20"/>
      <x:c r="P174" s="23"/>
      <x:c r="Q174" s="20"/>
      <x:c r="R174" s="20"/>
      <x:c r="S174" s="20"/>
      <x:c r="T174" s="20"/>
      <x:c r="U174" s="23"/>
      <x:c r="V174" s="20"/>
      <x:c r="W174" s="20"/>
      <x:c r="X174" s="20"/>
      <x:c r="Y174" s="23"/>
    </x:row>
    <x:row r="175">
      <x:c r="A175" s="20"/>
      <x:c r="B175" s="20"/>
      <x:c r="C175" s="20"/>
      <x:c r="D175" s="20"/>
      <x:c r="E175" s="20"/>
      <x:c r="F175" s="20"/>
      <x:c r="G175" s="20"/>
      <x:c r="H175" s="20"/>
      <x:c r="I175" s="20"/>
      <x:c r="J175" s="20"/>
      <x:c r="K175" s="20"/>
      <x:c r="L175" s="20"/>
      <x:c r="M175" s="20"/>
      <x:c r="N175" s="20"/>
      <x:c r="O175" s="20"/>
      <x:c r="P175" s="23"/>
      <x:c r="Q175" s="20"/>
      <x:c r="R175" s="20"/>
      <x:c r="S175" s="20"/>
      <x:c r="T175" s="20"/>
      <x:c r="U175" s="23"/>
      <x:c r="V175" s="20"/>
      <x:c r="W175" s="20"/>
      <x:c r="X175" s="20"/>
      <x:c r="Y175" s="23"/>
    </x:row>
    <x:row r="176">
      <x:c r="A176" s="20"/>
      <x:c r="B176" s="20"/>
      <x:c r="C176" s="20"/>
      <x:c r="D176" s="20"/>
      <x:c r="E176" s="20"/>
      <x:c r="F176" s="20"/>
      <x:c r="G176" s="20"/>
      <x:c r="H176" s="20"/>
      <x:c r="I176" s="20"/>
      <x:c r="J176" s="20"/>
      <x:c r="K176" s="20"/>
      <x:c r="L176" s="20"/>
      <x:c r="M176" s="20"/>
      <x:c r="N176" s="20"/>
      <x:c r="O176" s="20"/>
      <x:c r="P176" s="23"/>
      <x:c r="Q176" s="20"/>
      <x:c r="R176" s="20"/>
      <x:c r="S176" s="20"/>
      <x:c r="T176" s="20"/>
      <x:c r="U176" s="23"/>
      <x:c r="V176" s="20"/>
      <x:c r="W176" s="20"/>
      <x:c r="X176" s="20"/>
      <x:c r="Y176" s="23"/>
    </x:row>
    <x:row r="177">
      <x:c r="A177" s="20"/>
      <x:c r="B177" s="20"/>
      <x:c r="C177" s="20"/>
      <x:c r="D177" s="20"/>
      <x:c r="E177" s="20"/>
      <x:c r="F177" s="20"/>
      <x:c r="G177" s="20"/>
      <x:c r="H177" s="20"/>
      <x:c r="I177" s="20"/>
      <x:c r="J177" s="20"/>
      <x:c r="K177" s="20"/>
      <x:c r="L177" s="20"/>
      <x:c r="M177" s="20"/>
      <x:c r="N177" s="20"/>
      <x:c r="O177" s="20"/>
      <x:c r="P177" s="23"/>
      <x:c r="Q177" s="20"/>
      <x:c r="R177" s="20"/>
      <x:c r="S177" s="20"/>
      <x:c r="T177" s="20"/>
      <x:c r="U177" s="23"/>
      <x:c r="V177" s="20"/>
      <x:c r="W177" s="20"/>
      <x:c r="X177" s="20"/>
      <x:c r="Y177" s="23"/>
    </x:row>
    <x:row r="178">
      <x:c r="A178" s="20"/>
      <x:c r="B178" s="20"/>
      <x:c r="C178" s="20"/>
      <x:c r="D178" s="20"/>
      <x:c r="E178" s="20"/>
      <x:c r="F178" s="20"/>
      <x:c r="G178" s="20"/>
      <x:c r="H178" s="20"/>
      <x:c r="I178" s="20"/>
      <x:c r="J178" s="20"/>
      <x:c r="K178" s="20"/>
      <x:c r="L178" s="20"/>
      <x:c r="M178" s="20"/>
      <x:c r="N178" s="20"/>
      <x:c r="O178" s="20"/>
      <x:c r="P178" s="23"/>
      <x:c r="Q178" s="20"/>
      <x:c r="R178" s="20"/>
      <x:c r="S178" s="20"/>
      <x:c r="T178" s="20"/>
      <x:c r="U178" s="23"/>
      <x:c r="V178" s="20"/>
      <x:c r="W178" s="20"/>
      <x:c r="X178" s="20"/>
      <x:c r="Y178" s="23"/>
    </x:row>
    <x:row r="179">
      <x:c r="A179" s="20"/>
      <x:c r="B179" s="20"/>
      <x:c r="C179" s="20"/>
      <x:c r="D179" s="20"/>
      <x:c r="E179" s="20"/>
      <x:c r="F179" s="20"/>
      <x:c r="G179" s="20"/>
      <x:c r="H179" s="20"/>
      <x:c r="I179" s="20"/>
      <x:c r="J179" s="20"/>
      <x:c r="K179" s="20"/>
      <x:c r="L179" s="20"/>
      <x:c r="M179" s="20"/>
      <x:c r="N179" s="20"/>
      <x:c r="O179" s="20"/>
      <x:c r="P179" s="23"/>
      <x:c r="Q179" s="20"/>
      <x:c r="R179" s="20"/>
      <x:c r="S179" s="20"/>
      <x:c r="T179" s="20"/>
      <x:c r="U179" s="23"/>
      <x:c r="V179" s="20"/>
      <x:c r="W179" s="20"/>
      <x:c r="X179" s="20"/>
      <x:c r="Y179" s="23"/>
    </x:row>
    <x:row r="180">
      <x:c r="A180" s="20"/>
      <x:c r="B180" s="20"/>
      <x:c r="C180" s="20"/>
      <x:c r="D180" s="20"/>
      <x:c r="E180" s="20"/>
      <x:c r="F180" s="20"/>
      <x:c r="G180" s="20"/>
      <x:c r="H180" s="20"/>
      <x:c r="I180" s="20"/>
      <x:c r="J180" s="20"/>
      <x:c r="K180" s="20"/>
      <x:c r="L180" s="20"/>
      <x:c r="M180" s="20"/>
      <x:c r="N180" s="20"/>
      <x:c r="O180" s="20"/>
      <x:c r="P180" s="23"/>
      <x:c r="Q180" s="20"/>
      <x:c r="R180" s="20"/>
      <x:c r="S180" s="20"/>
      <x:c r="T180" s="20"/>
      <x:c r="U180" s="23"/>
      <x:c r="V180" s="20"/>
      <x:c r="W180" s="20"/>
      <x:c r="X180" s="20"/>
      <x:c r="Y180" s="23"/>
    </x:row>
    <x:row r="181">
      <x:c r="A181" s="20"/>
      <x:c r="B181" s="20"/>
      <x:c r="C181" s="20"/>
      <x:c r="D181" s="20"/>
      <x:c r="E181" s="20"/>
      <x:c r="F181" s="20"/>
      <x:c r="G181" s="20"/>
      <x:c r="H181" s="20"/>
      <x:c r="I181" s="20"/>
      <x:c r="J181" s="20"/>
      <x:c r="K181" s="20"/>
      <x:c r="L181" s="20"/>
      <x:c r="M181" s="20"/>
      <x:c r="N181" s="20"/>
      <x:c r="O181" s="20"/>
      <x:c r="P181" s="23"/>
      <x:c r="Q181" s="20"/>
      <x:c r="R181" s="20"/>
      <x:c r="S181" s="20"/>
      <x:c r="T181" s="20"/>
      <x:c r="U181" s="23"/>
      <x:c r="V181" s="20"/>
      <x:c r="W181" s="20"/>
      <x:c r="X181" s="20"/>
      <x:c r="Y181" s="23"/>
    </x:row>
    <x:row r="182">
      <x:c r="A182" s="20"/>
      <x:c r="B182" s="20"/>
      <x:c r="C182" s="20"/>
      <x:c r="D182" s="20"/>
      <x:c r="E182" s="20"/>
      <x:c r="F182" s="20"/>
      <x:c r="G182" s="20"/>
      <x:c r="H182" s="20"/>
      <x:c r="I182" s="20"/>
      <x:c r="J182" s="20"/>
      <x:c r="K182" s="20"/>
      <x:c r="L182" s="20"/>
      <x:c r="M182" s="20"/>
      <x:c r="N182" s="20"/>
      <x:c r="O182" s="20"/>
      <x:c r="P182" s="23"/>
      <x:c r="Q182" s="20"/>
      <x:c r="R182" s="20"/>
      <x:c r="S182" s="20"/>
      <x:c r="T182" s="20"/>
      <x:c r="U182" s="23"/>
      <x:c r="V182" s="20"/>
      <x:c r="W182" s="20"/>
      <x:c r="X182" s="20"/>
      <x:c r="Y182" s="23"/>
    </x:row>
    <x:row r="183">
      <x:c r="A183" s="20"/>
      <x:c r="B183" s="20"/>
      <x:c r="C183" s="20"/>
      <x:c r="D183" s="20"/>
      <x:c r="E183" s="20"/>
      <x:c r="F183" s="20"/>
      <x:c r="G183" s="20"/>
      <x:c r="H183" s="20"/>
      <x:c r="I183" s="20"/>
      <x:c r="J183" s="20"/>
      <x:c r="K183" s="20"/>
      <x:c r="L183" s="20"/>
      <x:c r="M183" s="20"/>
      <x:c r="N183" s="20"/>
      <x:c r="O183" s="20"/>
      <x:c r="P183" s="23"/>
      <x:c r="Q183" s="20"/>
      <x:c r="R183" s="20"/>
      <x:c r="S183" s="20"/>
      <x:c r="T183" s="20"/>
      <x:c r="U183" s="23"/>
      <x:c r="V183" s="20"/>
      <x:c r="W183" s="20"/>
      <x:c r="X183" s="20"/>
      <x:c r="Y183" s="23"/>
    </x:row>
    <x:row r="184">
      <x:c r="A184" s="20"/>
      <x:c r="B184" s="20"/>
      <x:c r="C184" s="20"/>
      <x:c r="D184" s="20"/>
      <x:c r="E184" s="20"/>
      <x:c r="F184" s="20"/>
      <x:c r="G184" s="20"/>
      <x:c r="H184" s="20"/>
      <x:c r="I184" s="20"/>
      <x:c r="J184" s="20"/>
      <x:c r="K184" s="20"/>
      <x:c r="L184" s="20"/>
      <x:c r="M184" s="20"/>
      <x:c r="N184" s="20"/>
      <x:c r="O184" s="20"/>
      <x:c r="P184" s="23"/>
      <x:c r="Q184" s="20"/>
      <x:c r="R184" s="20"/>
      <x:c r="S184" s="20"/>
      <x:c r="T184" s="20"/>
      <x:c r="U184" s="23"/>
      <x:c r="V184" s="20"/>
      <x:c r="W184" s="20"/>
      <x:c r="X184" s="20"/>
      <x:c r="Y184" s="23"/>
    </x:row>
    <x:row r="185">
      <x:c r="A185" s="20"/>
      <x:c r="B185" s="20"/>
      <x:c r="C185" s="20"/>
      <x:c r="D185" s="20"/>
      <x:c r="E185" s="20"/>
      <x:c r="F185" s="20"/>
      <x:c r="G185" s="20"/>
      <x:c r="H185" s="20"/>
      <x:c r="I185" s="20"/>
      <x:c r="J185" s="20"/>
      <x:c r="K185" s="20"/>
      <x:c r="L185" s="20"/>
      <x:c r="M185" s="20"/>
      <x:c r="N185" s="20"/>
      <x:c r="O185" s="20"/>
      <x:c r="P185" s="23"/>
      <x:c r="Q185" s="20"/>
      <x:c r="R185" s="20"/>
      <x:c r="S185" s="20"/>
      <x:c r="T185" s="20"/>
      <x:c r="U185" s="23"/>
      <x:c r="V185" s="20"/>
      <x:c r="W185" s="20"/>
      <x:c r="X185" s="20"/>
      <x:c r="Y185" s="23"/>
    </x:row>
    <x:row r="186">
      <x:c r="A186" s="20"/>
      <x:c r="B186" s="20"/>
      <x:c r="C186" s="20"/>
      <x:c r="D186" s="20"/>
      <x:c r="E186" s="20"/>
      <x:c r="F186" s="20"/>
      <x:c r="G186" s="20"/>
      <x:c r="H186" s="20"/>
      <x:c r="I186" s="20"/>
      <x:c r="J186" s="20"/>
      <x:c r="K186" s="20"/>
      <x:c r="L186" s="20"/>
      <x:c r="M186" s="20"/>
      <x:c r="N186" s="20"/>
      <x:c r="O186" s="20"/>
      <x:c r="P186" s="23"/>
      <x:c r="Q186" s="20"/>
      <x:c r="R186" s="20"/>
      <x:c r="S186" s="20"/>
      <x:c r="T186" s="20"/>
      <x:c r="U186" s="23"/>
      <x:c r="V186" s="20"/>
      <x:c r="W186" s="20"/>
      <x:c r="X186" s="20"/>
      <x:c r="Y186" s="23"/>
    </x:row>
    <x:row r="187">
      <x:c r="A187" s="20"/>
      <x:c r="B187" s="20"/>
      <x:c r="C187" s="20"/>
      <x:c r="D187" s="20"/>
      <x:c r="E187" s="20"/>
      <x:c r="F187" s="20"/>
      <x:c r="G187" s="20"/>
      <x:c r="H187" s="20"/>
      <x:c r="I187" s="20"/>
      <x:c r="J187" s="20"/>
      <x:c r="K187" s="20"/>
      <x:c r="L187" s="20"/>
      <x:c r="M187" s="20"/>
      <x:c r="N187" s="20"/>
      <x:c r="O187" s="20"/>
      <x:c r="P187" s="23"/>
      <x:c r="Q187" s="20"/>
      <x:c r="R187" s="20"/>
      <x:c r="S187" s="20"/>
      <x:c r="T187" s="20"/>
      <x:c r="U187" s="23"/>
      <x:c r="V187" s="20"/>
      <x:c r="W187" s="20"/>
      <x:c r="X187" s="20"/>
      <x:c r="Y187" s="23"/>
    </x:row>
    <x:row r="188">
      <x:c r="A188" s="20"/>
      <x:c r="B188" s="20"/>
      <x:c r="C188" s="20"/>
      <x:c r="D188" s="20"/>
      <x:c r="E188" s="20"/>
      <x:c r="F188" s="20"/>
      <x:c r="G188" s="20"/>
      <x:c r="H188" s="20"/>
      <x:c r="I188" s="20"/>
      <x:c r="J188" s="20"/>
      <x:c r="K188" s="20"/>
      <x:c r="L188" s="20"/>
      <x:c r="M188" s="20"/>
      <x:c r="N188" s="20"/>
      <x:c r="O188" s="20"/>
      <x:c r="P188" s="23"/>
      <x:c r="Q188" s="20"/>
      <x:c r="R188" s="20"/>
      <x:c r="S188" s="20"/>
      <x:c r="T188" s="20"/>
      <x:c r="U188" s="23"/>
      <x:c r="V188" s="20"/>
      <x:c r="W188" s="20"/>
      <x:c r="X188" s="20"/>
      <x:c r="Y188" s="23"/>
    </x:row>
    <x:row r="189">
      <x:c r="A189" s="20"/>
      <x:c r="B189" s="20"/>
      <x:c r="C189" s="20"/>
      <x:c r="D189" s="20"/>
      <x:c r="E189" s="20"/>
      <x:c r="F189" s="20"/>
      <x:c r="G189" s="20"/>
      <x:c r="H189" s="20"/>
      <x:c r="I189" s="20"/>
      <x:c r="J189" s="20"/>
      <x:c r="K189" s="20"/>
      <x:c r="L189" s="20"/>
      <x:c r="M189" s="20"/>
      <x:c r="N189" s="20"/>
      <x:c r="O189" s="20"/>
      <x:c r="P189" s="23"/>
      <x:c r="Q189" s="20"/>
      <x:c r="R189" s="20"/>
      <x:c r="S189" s="20"/>
      <x:c r="T189" s="20"/>
      <x:c r="U189" s="23"/>
      <x:c r="V189" s="20"/>
      <x:c r="W189" s="20"/>
      <x:c r="X189" s="20"/>
      <x:c r="Y189" s="23"/>
    </x:row>
    <x:row r="190">
      <x:c r="A190" s="20"/>
      <x:c r="B190" s="20"/>
      <x:c r="C190" s="20"/>
      <x:c r="D190" s="20"/>
      <x:c r="E190" s="20"/>
      <x:c r="F190" s="20"/>
      <x:c r="G190" s="20"/>
      <x:c r="H190" s="20"/>
      <x:c r="I190" s="20"/>
      <x:c r="J190" s="20"/>
      <x:c r="K190" s="20"/>
      <x:c r="L190" s="20"/>
      <x:c r="M190" s="20"/>
      <x:c r="N190" s="20"/>
      <x:c r="O190" s="20"/>
      <x:c r="P190" s="23"/>
      <x:c r="Q190" s="20"/>
      <x:c r="R190" s="20"/>
      <x:c r="S190" s="20"/>
      <x:c r="T190" s="20"/>
      <x:c r="U190" s="23"/>
      <x:c r="V190" s="20"/>
      <x:c r="W190" s="20"/>
      <x:c r="X190" s="20"/>
      <x:c r="Y190" s="23"/>
    </x:row>
    <x:row r="191">
      <x:c r="A191" s="20"/>
      <x:c r="B191" s="20"/>
      <x:c r="C191" s="20"/>
      <x:c r="D191" s="20"/>
      <x:c r="E191" s="20"/>
      <x:c r="F191" s="20"/>
      <x:c r="G191" s="20"/>
      <x:c r="H191" s="20"/>
      <x:c r="I191" s="20"/>
      <x:c r="J191" s="20"/>
      <x:c r="K191" s="20"/>
      <x:c r="L191" s="20"/>
      <x:c r="M191" s="20"/>
      <x:c r="N191" s="20"/>
      <x:c r="O191" s="20"/>
      <x:c r="P191" s="23"/>
      <x:c r="Q191" s="20"/>
      <x:c r="R191" s="20"/>
      <x:c r="S191" s="20"/>
      <x:c r="T191" s="20"/>
      <x:c r="U191" s="23"/>
      <x:c r="V191" s="20"/>
      <x:c r="W191" s="20"/>
      <x:c r="X191" s="20"/>
      <x:c r="Y191" s="23"/>
    </x:row>
    <x:row r="192">
      <x:c r="A192" s="20"/>
      <x:c r="B192" s="20"/>
      <x:c r="C192" s="20"/>
      <x:c r="D192" s="20"/>
      <x:c r="E192" s="20"/>
      <x:c r="F192" s="20"/>
      <x:c r="G192" s="20"/>
      <x:c r="H192" s="20"/>
      <x:c r="I192" s="20"/>
      <x:c r="J192" s="20"/>
      <x:c r="K192" s="20"/>
      <x:c r="L192" s="20"/>
      <x:c r="M192" s="20"/>
      <x:c r="N192" s="20"/>
      <x:c r="O192" s="20"/>
      <x:c r="P192" s="23"/>
      <x:c r="Q192" s="20"/>
      <x:c r="R192" s="20"/>
      <x:c r="S192" s="20"/>
      <x:c r="T192" s="20"/>
      <x:c r="U192" s="23"/>
      <x:c r="V192" s="20"/>
      <x:c r="W192" s="20"/>
      <x:c r="X192" s="20"/>
      <x:c r="Y192" s="23"/>
    </x:row>
    <x:row r="193">
      <x:c r="A193" s="20"/>
      <x:c r="B193" s="20"/>
      <x:c r="C193" s="20"/>
      <x:c r="D193" s="20"/>
      <x:c r="E193" s="20"/>
      <x:c r="F193" s="20"/>
      <x:c r="G193" s="20"/>
      <x:c r="H193" s="20"/>
      <x:c r="I193" s="20"/>
      <x:c r="J193" s="20"/>
      <x:c r="K193" s="20"/>
      <x:c r="L193" s="20"/>
      <x:c r="M193" s="20"/>
      <x:c r="N193" s="20"/>
      <x:c r="O193" s="20"/>
      <x:c r="P193" s="23"/>
      <x:c r="Q193" s="20"/>
      <x:c r="R193" s="20"/>
      <x:c r="S193" s="20"/>
      <x:c r="T193" s="20"/>
      <x:c r="U193" s="23"/>
      <x:c r="V193" s="20"/>
      <x:c r="W193" s="20"/>
      <x:c r="X193" s="20"/>
      <x:c r="Y193" s="23"/>
    </x:row>
    <x:row r="194">
      <x:c r="A194" s="20"/>
      <x:c r="B194" s="20"/>
      <x:c r="C194" s="20"/>
      <x:c r="D194" s="20"/>
      <x:c r="E194" s="20"/>
      <x:c r="F194" s="20"/>
      <x:c r="G194" s="20"/>
      <x:c r="H194" s="20"/>
      <x:c r="I194" s="20"/>
      <x:c r="J194" s="20"/>
      <x:c r="K194" s="20"/>
      <x:c r="L194" s="20"/>
      <x:c r="M194" s="20"/>
      <x:c r="N194" s="20"/>
      <x:c r="O194" s="20"/>
      <x:c r="P194" s="23"/>
      <x:c r="Q194" s="20"/>
      <x:c r="R194" s="20"/>
      <x:c r="S194" s="20"/>
      <x:c r="T194" s="20"/>
      <x:c r="U194" s="23"/>
      <x:c r="V194" s="20"/>
      <x:c r="W194" s="20"/>
      <x:c r="X194" s="20"/>
      <x:c r="Y194" s="23"/>
    </x:row>
    <x:row r="195">
      <x:c r="A195" s="20"/>
      <x:c r="B195" s="20"/>
      <x:c r="C195" s="20"/>
      <x:c r="D195" s="20"/>
      <x:c r="E195" s="20"/>
      <x:c r="F195" s="20"/>
      <x:c r="G195" s="20"/>
      <x:c r="H195" s="20"/>
      <x:c r="I195" s="20"/>
      <x:c r="J195" s="20"/>
      <x:c r="K195" s="20"/>
      <x:c r="L195" s="20"/>
      <x:c r="M195" s="20"/>
      <x:c r="N195" s="20"/>
      <x:c r="O195" s="20"/>
      <x:c r="P195" s="23"/>
      <x:c r="Q195" s="20"/>
      <x:c r="R195" s="20"/>
      <x:c r="S195" s="20"/>
      <x:c r="T195" s="20"/>
      <x:c r="U195" s="23"/>
      <x:c r="V195" s="20"/>
      <x:c r="W195" s="20"/>
      <x:c r="X195" s="20"/>
      <x:c r="Y195" s="23"/>
    </x:row>
    <x:row r="196">
      <x:c r="A196" s="20"/>
      <x:c r="B196" s="20"/>
      <x:c r="C196" s="20"/>
      <x:c r="D196" s="20"/>
      <x:c r="E196" s="20"/>
      <x:c r="F196" s="20"/>
      <x:c r="G196" s="20"/>
      <x:c r="H196" s="20"/>
      <x:c r="I196" s="20"/>
      <x:c r="J196" s="20"/>
      <x:c r="K196" s="20"/>
      <x:c r="L196" s="20"/>
      <x:c r="M196" s="20"/>
      <x:c r="N196" s="20"/>
      <x:c r="O196" s="20"/>
      <x:c r="P196" s="23"/>
      <x:c r="Q196" s="20"/>
      <x:c r="R196" s="20"/>
      <x:c r="S196" s="20"/>
      <x:c r="T196" s="20"/>
      <x:c r="U196" s="23"/>
      <x:c r="V196" s="20"/>
      <x:c r="W196" s="20"/>
      <x:c r="X196" s="20"/>
      <x:c r="Y196" s="23"/>
    </x:row>
    <x:row r="197">
      <x:c r="A197" s="20"/>
      <x:c r="B197" s="20"/>
      <x:c r="C197" s="20"/>
      <x:c r="D197" s="20"/>
      <x:c r="E197" s="20"/>
      <x:c r="F197" s="20"/>
      <x:c r="G197" s="20"/>
      <x:c r="H197" s="20"/>
      <x:c r="I197" s="20"/>
      <x:c r="J197" s="20"/>
      <x:c r="K197" s="20"/>
      <x:c r="L197" s="20"/>
      <x:c r="M197" s="20"/>
      <x:c r="N197" s="20"/>
      <x:c r="O197" s="20"/>
      <x:c r="P197" s="23"/>
      <x:c r="Q197" s="20"/>
      <x:c r="R197" s="20"/>
      <x:c r="S197" s="20"/>
      <x:c r="T197" s="20"/>
      <x:c r="U197" s="23"/>
      <x:c r="V197" s="20"/>
      <x:c r="W197" s="20"/>
      <x:c r="X197" s="20"/>
      <x:c r="Y197" s="23"/>
    </x:row>
    <x:row r="198">
      <x:c r="A198" s="20"/>
      <x:c r="B198" s="20"/>
      <x:c r="C198" s="20"/>
      <x:c r="D198" s="20"/>
      <x:c r="E198" s="20"/>
      <x:c r="F198" s="20"/>
      <x:c r="G198" s="20"/>
      <x:c r="H198" s="20"/>
      <x:c r="I198" s="20"/>
      <x:c r="J198" s="20"/>
      <x:c r="K198" s="20"/>
      <x:c r="L198" s="20"/>
      <x:c r="M198" s="20"/>
      <x:c r="N198" s="20"/>
      <x:c r="O198" s="20"/>
      <x:c r="P198" s="23"/>
      <x:c r="Q198" s="20"/>
      <x:c r="R198" s="20"/>
      <x:c r="S198" s="20"/>
      <x:c r="T198" s="20"/>
      <x:c r="U198" s="23"/>
      <x:c r="V198" s="20"/>
      <x:c r="W198" s="20"/>
      <x:c r="X198" s="20"/>
      <x:c r="Y198" s="23"/>
    </x:row>
    <x:row r="199">
      <x:c r="A199" s="20"/>
      <x:c r="B199" s="20"/>
      <x:c r="C199" s="20"/>
      <x:c r="D199" s="20"/>
      <x:c r="E199" s="20"/>
      <x:c r="F199" s="20"/>
      <x:c r="G199" s="20"/>
      <x:c r="H199" s="20"/>
      <x:c r="I199" s="20"/>
      <x:c r="J199" s="20"/>
      <x:c r="K199" s="20"/>
      <x:c r="L199" s="20"/>
      <x:c r="M199" s="20"/>
      <x:c r="N199" s="20"/>
      <x:c r="O199" s="20"/>
      <x:c r="P199" s="23"/>
      <x:c r="Q199" s="20"/>
      <x:c r="R199" s="20"/>
      <x:c r="S199" s="20"/>
      <x:c r="T199" s="20"/>
      <x:c r="U199" s="23"/>
      <x:c r="V199" s="20"/>
      <x:c r="W199" s="20"/>
      <x:c r="X199" s="20"/>
      <x:c r="Y199" s="23"/>
    </x:row>
    <x:row r="200">
      <x:c r="A200" s="20"/>
      <x:c r="B200" s="20"/>
      <x:c r="C200" s="20"/>
      <x:c r="D200" s="20"/>
      <x:c r="E200" s="20"/>
      <x:c r="F200" s="20"/>
      <x:c r="G200" s="20"/>
      <x:c r="H200" s="20"/>
      <x:c r="I200" s="20"/>
      <x:c r="J200" s="20"/>
      <x:c r="K200" s="20"/>
      <x:c r="L200" s="20"/>
      <x:c r="M200" s="20"/>
      <x:c r="N200" s="20"/>
      <x:c r="O200" s="20"/>
      <x:c r="P200" s="23"/>
      <x:c r="Q200" s="20"/>
      <x:c r="R200" s="20"/>
      <x:c r="S200" s="20"/>
      <x:c r="T200" s="20"/>
      <x:c r="U200" s="23"/>
      <x:c r="V200" s="20"/>
      <x:c r="W200" s="20"/>
      <x:c r="X200" s="20"/>
      <x:c r="Y200" s="23"/>
    </x:row>
    <x:row r="201">
      <x:c r="A201" s="20"/>
      <x:c r="B201" s="20"/>
      <x:c r="C201" s="20"/>
      <x:c r="D201" s="20"/>
      <x:c r="E201" s="20"/>
      <x:c r="F201" s="20"/>
      <x:c r="G201" s="20"/>
      <x:c r="H201" s="20"/>
      <x:c r="I201" s="20"/>
      <x:c r="J201" s="20"/>
      <x:c r="K201" s="20"/>
      <x:c r="L201" s="20"/>
      <x:c r="M201" s="20"/>
      <x:c r="N201" s="20"/>
      <x:c r="O201" s="20"/>
      <x:c r="P201" s="23"/>
      <x:c r="Q201" s="20"/>
      <x:c r="R201" s="20"/>
      <x:c r="S201" s="20"/>
      <x:c r="T201" s="20"/>
      <x:c r="U201" s="23"/>
      <x:c r="V201" s="20"/>
      <x:c r="W201" s="20"/>
      <x:c r="X201" s="20"/>
      <x:c r="Y201" s="23"/>
    </x:row>
    <x:row r="202">
      <x:c r="A202" s="20"/>
      <x:c r="B202" s="20"/>
      <x:c r="C202" s="20"/>
      <x:c r="D202" s="20"/>
      <x:c r="E202" s="20"/>
      <x:c r="F202" s="20"/>
      <x:c r="G202" s="20"/>
      <x:c r="H202" s="20"/>
      <x:c r="I202" s="20"/>
      <x:c r="J202" s="20"/>
      <x:c r="K202" s="20"/>
      <x:c r="L202" s="20"/>
      <x:c r="M202" s="20"/>
      <x:c r="N202" s="20"/>
      <x:c r="O202" s="20"/>
      <x:c r="P202" s="23"/>
      <x:c r="Q202" s="20"/>
      <x:c r="R202" s="20"/>
      <x:c r="S202" s="20"/>
      <x:c r="T202" s="20"/>
      <x:c r="U202" s="23"/>
      <x:c r="V202" s="20"/>
      <x:c r="W202" s="20"/>
      <x:c r="X202" s="20"/>
      <x:c r="Y202" s="23"/>
    </x:row>
    <x:row r="203">
      <x:c r="A203" s="20"/>
      <x:c r="B203" s="20"/>
      <x:c r="C203" s="20"/>
      <x:c r="D203" s="20"/>
      <x:c r="E203" s="20"/>
      <x:c r="F203" s="20"/>
      <x:c r="G203" s="20"/>
      <x:c r="H203" s="20"/>
      <x:c r="I203" s="20"/>
      <x:c r="J203" s="20"/>
      <x:c r="K203" s="20"/>
      <x:c r="L203" s="20"/>
      <x:c r="M203" s="20"/>
      <x:c r="N203" s="20"/>
      <x:c r="O203" s="20"/>
      <x:c r="P203" s="23"/>
      <x:c r="Q203" s="20"/>
      <x:c r="R203" s="20"/>
      <x:c r="S203" s="20"/>
      <x:c r="T203" s="20"/>
      <x:c r="U203" s="23"/>
      <x:c r="V203" s="20"/>
      <x:c r="W203" s="20"/>
      <x:c r="X203" s="20"/>
      <x:c r="Y203" s="23"/>
    </x:row>
    <x:row r="204">
      <x:c r="A204" s="21"/>
      <x:c r="B204" s="21"/>
      <x:c r="C204" s="21"/>
      <x:c r="D204" s="21"/>
      <x:c r="E204" s="21"/>
      <x:c r="F204" s="21"/>
      <x:c r="G204" s="21"/>
      <x:c r="H204" s="21"/>
      <x:c r="I204" s="21"/>
      <x:c r="J204" s="21"/>
      <x:c r="K204" s="21"/>
      <x:c r="L204" s="21"/>
      <x:c r="M204" s="21"/>
      <x:c r="N204" s="21"/>
      <x:c r="O204" s="21"/>
      <x:c r="P204" s="24"/>
      <x:c r="Q204" s="21"/>
      <x:c r="R204" s="21"/>
      <x:c r="S204" s="21"/>
      <x:c r="T204" s="21"/>
      <x:c r="U204" s="24"/>
      <x:c r="V204" s="21"/>
      <x:c r="W204" s="21"/>
      <x:c r="X204" s="21"/>
      <x:c r="Y204" s="24"/>
    </x:row>
  </x:sheetData>
  <x:mergeCells>
    <x:mergeCell ref="A1:Y1"/>
    <x:mergeCell ref="A2:Y2"/>
  </x:mergeCells>
  <x:conditionalFormatting sqref="A5:Y204">
    <x:cfRule type="expression" dxfId="30" priority="1">
      <x:formula>OR($T5="Open",$T5="Blocked",$T5="Failed",$T5="Rejected",$T5="Not Authorised")</x:formula>
    </x:cfRule>
    <x:cfRule type="expression" dxfId="31" priority="2">
      <x:formula>OR($T5="Approved",$T5="Passed",$T5="Closed",$T5="Authorised")</x:formula>
    </x:cfRule>
    <x:cfRule type="expression" dxfId="32" priority="3">
      <x:formula>OR($T5="Pending",$T5="In Progress",$T5="Investigating",$T5="Conditional")</x:formula>
    </x:cfRule>
  </x:conditionalFormatting>
  <x:dataValidations count="6">
    <x:dataValidation type="list" sqref="D5:D204">
      <x:formula1>"Architecture,Data,Security,Frontend,Backend,Infrastructure,Operations,Policy,Emergency"</x:formula1>
    </x:dataValidation>
    <x:dataValidation type="list" sqref="J5:J204">
      <x:formula1>"Critical,High,Medium,Low"</x:formula1>
    </x:dataValidation>
    <x:dataValidation type="list" sqref="K5:K204">
      <x:formula1>"Critical,High,Medium,Low"</x:formula1>
    </x:dataValidation>
    <x:dataValidation type="list" sqref="M5:M204">
      <x:formula1>"Yes,No"</x:formula1>
    </x:dataValidation>
    <x:dataValidation type="list" sqref="N5:N204">
      <x:formula1>"Yes,No"</x:formula1>
    </x:dataValidation>
    <x:dataValidation type="list" sqref="T5:T204">
      <x:formula1>"Requested,Assessed,Approved,Scheduled,Deploying,Implemented,Verified,Rolled Back,Rejected,Cancelled"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6396d8e0e354c79"/>
  </x:tableParts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6" hidden="0" customWidth="1"/>
    <x:col min="3" max="3" width="16" hidden="0" customWidth="1"/>
    <x:col min="4" max="4" width="14" hidden="0" customWidth="1"/>
    <x:col min="5" max="5" width="18" hidden="0" customWidth="1"/>
    <x:col min="6" max="6" width="14" hidden="0" customWidth="1"/>
    <x:col min="7" max="7" width="22" hidden="0" customWidth="1"/>
    <x:col min="8" max="8" width="22" hidden="0" customWidth="1"/>
    <x:col min="9" max="9" width="18" hidden="0" customWidth="1"/>
    <x:col min="10" max="10" width="34" hidden="0" customWidth="1"/>
    <x:col min="11" max="11" width="30" hidden="0" customWidth="1"/>
    <x:col min="12" max="12" width="14" hidden="0" customWidth="1"/>
    <x:col min="13" max="13" width="18" hidden="0" customWidth="1"/>
    <x:col min="14" max="14" width="20" hidden="0" customWidth="1"/>
    <x:col min="15" max="15" width="34" hidden="0" customWidth="1"/>
    <x:col min="16" max="16" width="14" hidden="0" customWidth="1"/>
    <x:col min="17" max="17" width="14" hidden="0" customWidth="1"/>
    <x:col min="18" max="18" width="18" hidden="0" customWidth="1"/>
    <x:col min="19" max="19" width="18" hidden="0" customWidth="1"/>
    <x:col min="20" max="20" width="18" hidden="0" customWidth="1"/>
    <x:col min="21" max="21" width="24" hidden="0" customWidth="1"/>
    <x:col min="22" max="22" width="24" hidden="0" customWidth="1"/>
    <x:col min="23" max="23" width="20" hidden="0" customWidth="1"/>
    <x:col min="24" max="24" width="20" hidden="0" customWidth="1"/>
    <x:col min="25" max="25" width="14" hidden="0" customWidth="1"/>
    <x:col min="26" max="26" width="30" hidden="0" customWidth="1"/>
    <x:col min="27" max="27" width="16" hidden="0" customWidth="1"/>
    <x:col min="28" max="28" width="30" hidden="0" customWidth="1"/>
    <x:col min="29" max="29" width="14" hidden="0" customWidth="1"/>
  </x:cols>
  <x:sheetData>
    <x:row r="1" ht="34" customHeight="1">
      <x:c r="A1" s="3" t="str">
        <x:v>CEO RELEASES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  <x:c r="Z1" s="3"/>
      <x:c r="AA1" s="3"/>
      <x:c r="AB1" s="3"/>
      <x:c r="AC1" s="3"/>
    </x:row>
    <x:row r="2" ht="28" customHeight="1">
      <x:c r="A2" s="7" t="str">
        <x:v>The final bounded production decision. General release never implies approval for AI, FaceGate, biometrics or cross-event intelligence.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  <x:c r="R2" s="7"/>
      <x:c r="S2" s="7"/>
      <x:c r="T2" s="7"/>
      <x:c r="U2" s="7"/>
      <x:c r="V2" s="7"/>
      <x:c r="W2" s="7"/>
      <x:c r="X2" s="7"/>
      <x:c r="Y2" s="7"/>
      <x:c r="Z2" s="7"/>
      <x:c r="AA2" s="7"/>
      <x:c r="AB2" s="7"/>
      <x:c r="AC2" s="7"/>
    </x:row>
    <x:row r="4" ht="32" customHeight="1">
      <x:c r="A4" s="12" t="str">
        <x:v>CEO Release ID*</x:v>
      </x:c>
      <x:c r="B4" s="12" t="str">
        <x:v>Candidate ID*</x:v>
      </x:c>
      <x:c r="C4" s="12" t="str">
        <x:v>Decision*</x:v>
      </x:c>
      <x:c r="D4" s="12" t="str">
        <x:v>Decision Date*</x:v>
      </x:c>
      <x:c r="E4" s="12" t="str">
        <x:v>CEO Name*</x:v>
      </x:c>
      <x:c r="F4" s="12" t="str">
        <x:v>Environment*</x:v>
      </x:c>
      <x:c r="G4" s="12" t="str">
        <x:v>Client Scope*</x:v>
      </x:c>
      <x:c r="H4" s="12" t="str">
        <x:v>Event Scope*</x:v>
      </x:c>
      <x:c r="I4" s="12" t="str">
        <x:v>Region Scope*</x:v>
      </x:c>
      <x:c r="J4" s="12" t="str">
        <x:v>Capabilities Authorised*</x:v>
      </x:c>
      <x:c r="K4" s="12" t="str">
        <x:v>Capabilities Excluded*</x:v>
      </x:c>
      <x:c r="L4" s="12" t="str">
        <x:v>AI Authorised?*</x:v>
      </x:c>
      <x:c r="M4" s="12" t="str">
        <x:v>FaceGate / Biometrics Authorised?*</x:v>
      </x:c>
      <x:c r="N4" s="12" t="str">
        <x:v>Cross-Event Intelligence Authorised?*</x:v>
      </x:c>
      <x:c r="O4" s="12" t="str">
        <x:v>Conditions</x:v>
      </x:c>
      <x:c r="P4" s="12" t="str">
        <x:v>Effective From*</x:v>
      </x:c>
      <x:c r="Q4" s="12" t="str">
        <x:v>Expiry Date</x:v>
      </x:c>
      <x:c r="R4" s="12" t="str">
        <x:v>Rollback Owner*</x:v>
      </x:c>
      <x:c r="S4" s="12" t="str">
        <x:v>Support Owner*</x:v>
      </x:c>
      <x:c r="T4" s="12" t="str">
        <x:v>Incident Commander*</x:v>
      </x:c>
      <x:c r="U4" s="12" t="str">
        <x:v>Approval IDs*</x:v>
      </x:c>
      <x:c r="V4" s="12" t="str">
        <x:v>Evidence IDs*</x:v>
      </x:c>
      <x:c r="W4" s="12" t="str">
        <x:v>Risk IDs</x:v>
      </x:c>
      <x:c r="X4" s="12" t="str">
        <x:v>Exception IDs</x:v>
      </x:c>
      <x:c r="Y4" s="12" t="str">
        <x:v>Revoked Date</x:v>
      </x:c>
      <x:c r="Z4" s="12" t="str">
        <x:v>Revocation Reason</x:v>
      </x:c>
      <x:c r="AA4" s="12" t="str">
        <x:v>Production Version</x:v>
      </x:c>
      <x:c r="AB4" s="12" t="str">
        <x:v>Deployment Record</x:v>
      </x:c>
      <x:c r="AC4" s="12" t="str">
        <x:v>Last Updated*</x:v>
      </x:c>
    </x:row>
    <x:row r="5">
      <x:c r="A5" s="19"/>
      <x:c r="B5" s="19"/>
      <x:c r="C5" s="19"/>
      <x:c r="D5" s="22"/>
      <x:c r="E5" s="19"/>
      <x:c r="F5" s="19"/>
      <x:c r="G5" s="19"/>
      <x:c r="H5" s="19"/>
      <x:c r="I5" s="19"/>
      <x:c r="J5" s="19"/>
      <x:c r="K5" s="19"/>
      <x:c r="L5" s="19"/>
      <x:c r="M5" s="19"/>
      <x:c r="N5" s="19"/>
      <x:c r="O5" s="19"/>
      <x:c r="P5" s="22"/>
      <x:c r="Q5" s="22"/>
      <x:c r="R5" s="19"/>
      <x:c r="S5" s="19"/>
      <x:c r="T5" s="19"/>
      <x:c r="U5" s="19"/>
      <x:c r="V5" s="19"/>
      <x:c r="W5" s="19"/>
      <x:c r="X5" s="19"/>
      <x:c r="Y5" s="22"/>
      <x:c r="Z5" s="19"/>
      <x:c r="AA5" s="19"/>
      <x:c r="AB5" s="19"/>
      <x:c r="AC5" s="22"/>
    </x:row>
    <x:row r="6">
      <x:c r="A6" s="20"/>
      <x:c r="B6" s="20"/>
      <x:c r="C6" s="20"/>
      <x:c r="D6" s="23"/>
      <x:c r="E6" s="20"/>
      <x:c r="F6" s="20"/>
      <x:c r="G6" s="20"/>
      <x:c r="H6" s="20"/>
      <x:c r="I6" s="20"/>
      <x:c r="J6" s="20"/>
      <x:c r="K6" s="20"/>
      <x:c r="L6" s="20"/>
      <x:c r="M6" s="20"/>
      <x:c r="N6" s="20"/>
      <x:c r="O6" s="20"/>
      <x:c r="P6" s="23"/>
      <x:c r="Q6" s="23"/>
      <x:c r="R6" s="20"/>
      <x:c r="S6" s="20"/>
      <x:c r="T6" s="20"/>
      <x:c r="U6" s="20"/>
      <x:c r="V6" s="20"/>
      <x:c r="W6" s="20"/>
      <x:c r="X6" s="20"/>
      <x:c r="Y6" s="23"/>
      <x:c r="Z6" s="20"/>
      <x:c r="AA6" s="20"/>
      <x:c r="AB6" s="20"/>
      <x:c r="AC6" s="23"/>
    </x:row>
    <x:row r="7">
      <x:c r="A7" s="20"/>
      <x:c r="B7" s="20"/>
      <x:c r="C7" s="20"/>
      <x:c r="D7" s="23"/>
      <x:c r="E7" s="20"/>
      <x:c r="F7" s="20"/>
      <x:c r="G7" s="20"/>
      <x:c r="H7" s="20"/>
      <x:c r="I7" s="20"/>
      <x:c r="J7" s="20"/>
      <x:c r="K7" s="20"/>
      <x:c r="L7" s="20"/>
      <x:c r="M7" s="20"/>
      <x:c r="N7" s="20"/>
      <x:c r="O7" s="20"/>
      <x:c r="P7" s="23"/>
      <x:c r="Q7" s="23"/>
      <x:c r="R7" s="20"/>
      <x:c r="S7" s="20"/>
      <x:c r="T7" s="20"/>
      <x:c r="U7" s="20"/>
      <x:c r="V7" s="20"/>
      <x:c r="W7" s="20"/>
      <x:c r="X7" s="20"/>
      <x:c r="Y7" s="23"/>
      <x:c r="Z7" s="20"/>
      <x:c r="AA7" s="20"/>
      <x:c r="AB7" s="20"/>
      <x:c r="AC7" s="23"/>
    </x:row>
    <x:row r="8">
      <x:c r="A8" s="20"/>
      <x:c r="B8" s="20"/>
      <x:c r="C8" s="20"/>
      <x:c r="D8" s="23"/>
      <x:c r="E8" s="20"/>
      <x:c r="F8" s="20"/>
      <x:c r="G8" s="20"/>
      <x:c r="H8" s="20"/>
      <x:c r="I8" s="20"/>
      <x:c r="J8" s="20"/>
      <x:c r="K8" s="20"/>
      <x:c r="L8" s="20"/>
      <x:c r="M8" s="20"/>
      <x:c r="N8" s="20"/>
      <x:c r="O8" s="20"/>
      <x:c r="P8" s="23"/>
      <x:c r="Q8" s="23"/>
      <x:c r="R8" s="20"/>
      <x:c r="S8" s="20"/>
      <x:c r="T8" s="20"/>
      <x:c r="U8" s="20"/>
      <x:c r="V8" s="20"/>
      <x:c r="W8" s="20"/>
      <x:c r="X8" s="20"/>
      <x:c r="Y8" s="23"/>
      <x:c r="Z8" s="20"/>
      <x:c r="AA8" s="20"/>
      <x:c r="AB8" s="20"/>
      <x:c r="AC8" s="23"/>
    </x:row>
    <x:row r="9">
      <x:c r="A9" s="20"/>
      <x:c r="B9" s="20"/>
      <x:c r="C9" s="20"/>
      <x:c r="D9" s="23"/>
      <x:c r="E9" s="20"/>
      <x:c r="F9" s="20"/>
      <x:c r="G9" s="20"/>
      <x:c r="H9" s="20"/>
      <x:c r="I9" s="20"/>
      <x:c r="J9" s="20"/>
      <x:c r="K9" s="20"/>
      <x:c r="L9" s="20"/>
      <x:c r="M9" s="20"/>
      <x:c r="N9" s="20"/>
      <x:c r="O9" s="20"/>
      <x:c r="P9" s="23"/>
      <x:c r="Q9" s="23"/>
      <x:c r="R9" s="20"/>
      <x:c r="S9" s="20"/>
      <x:c r="T9" s="20"/>
      <x:c r="U9" s="20"/>
      <x:c r="V9" s="20"/>
      <x:c r="W9" s="20"/>
      <x:c r="X9" s="20"/>
      <x:c r="Y9" s="23"/>
      <x:c r="Z9" s="20"/>
      <x:c r="AA9" s="20"/>
      <x:c r="AB9" s="20"/>
      <x:c r="AC9" s="23"/>
    </x:row>
    <x:row r="10">
      <x:c r="A10" s="20"/>
      <x:c r="B10" s="20"/>
      <x:c r="C10" s="20"/>
      <x:c r="D10" s="23"/>
      <x:c r="E10" s="20"/>
      <x:c r="F10" s="20"/>
      <x:c r="G10" s="20"/>
      <x:c r="H10" s="20"/>
      <x:c r="I10" s="20"/>
      <x:c r="J10" s="20"/>
      <x:c r="K10" s="20"/>
      <x:c r="L10" s="20"/>
      <x:c r="M10" s="20"/>
      <x:c r="N10" s="20"/>
      <x:c r="O10" s="20"/>
      <x:c r="P10" s="23"/>
      <x:c r="Q10" s="23"/>
      <x:c r="R10" s="20"/>
      <x:c r="S10" s="20"/>
      <x:c r="T10" s="20"/>
      <x:c r="U10" s="20"/>
      <x:c r="V10" s="20"/>
      <x:c r="W10" s="20"/>
      <x:c r="X10" s="20"/>
      <x:c r="Y10" s="23"/>
      <x:c r="Z10" s="20"/>
      <x:c r="AA10" s="20"/>
      <x:c r="AB10" s="20"/>
      <x:c r="AC10" s="23"/>
    </x:row>
    <x:row r="11">
      <x:c r="A11" s="20"/>
      <x:c r="B11" s="20"/>
      <x:c r="C11" s="20"/>
      <x:c r="D11" s="23"/>
      <x:c r="E11" s="20"/>
      <x:c r="F11" s="20"/>
      <x:c r="G11" s="20"/>
      <x:c r="H11" s="20"/>
      <x:c r="I11" s="20"/>
      <x:c r="J11" s="20"/>
      <x:c r="K11" s="20"/>
      <x:c r="L11" s="20"/>
      <x:c r="M11" s="20"/>
      <x:c r="N11" s="20"/>
      <x:c r="O11" s="20"/>
      <x:c r="P11" s="23"/>
      <x:c r="Q11" s="23"/>
      <x:c r="R11" s="20"/>
      <x:c r="S11" s="20"/>
      <x:c r="T11" s="20"/>
      <x:c r="U11" s="20"/>
      <x:c r="V11" s="20"/>
      <x:c r="W11" s="20"/>
      <x:c r="X11" s="20"/>
      <x:c r="Y11" s="23"/>
      <x:c r="Z11" s="20"/>
      <x:c r="AA11" s="20"/>
      <x:c r="AB11" s="20"/>
      <x:c r="AC11" s="23"/>
    </x:row>
    <x:row r="12">
      <x:c r="A12" s="20"/>
      <x:c r="B12" s="20"/>
      <x:c r="C12" s="20"/>
      <x:c r="D12" s="23"/>
      <x:c r="E12" s="20"/>
      <x:c r="F12" s="20"/>
      <x:c r="G12" s="20"/>
      <x:c r="H12" s="20"/>
      <x:c r="I12" s="20"/>
      <x:c r="J12" s="20"/>
      <x:c r="K12" s="20"/>
      <x:c r="L12" s="20"/>
      <x:c r="M12" s="20"/>
      <x:c r="N12" s="20"/>
      <x:c r="O12" s="20"/>
      <x:c r="P12" s="23"/>
      <x:c r="Q12" s="23"/>
      <x:c r="R12" s="20"/>
      <x:c r="S12" s="20"/>
      <x:c r="T12" s="20"/>
      <x:c r="U12" s="20"/>
      <x:c r="V12" s="20"/>
      <x:c r="W12" s="20"/>
      <x:c r="X12" s="20"/>
      <x:c r="Y12" s="23"/>
      <x:c r="Z12" s="20"/>
      <x:c r="AA12" s="20"/>
      <x:c r="AB12" s="20"/>
      <x:c r="AC12" s="23"/>
    </x:row>
    <x:row r="13">
      <x:c r="A13" s="20"/>
      <x:c r="B13" s="20"/>
      <x:c r="C13" s="20"/>
      <x:c r="D13" s="23"/>
      <x:c r="E13" s="20"/>
      <x:c r="F13" s="20"/>
      <x:c r="G13" s="20"/>
      <x:c r="H13" s="20"/>
      <x:c r="I13" s="20"/>
      <x:c r="J13" s="20"/>
      <x:c r="K13" s="20"/>
      <x:c r="L13" s="20"/>
      <x:c r="M13" s="20"/>
      <x:c r="N13" s="20"/>
      <x:c r="O13" s="20"/>
      <x:c r="P13" s="23"/>
      <x:c r="Q13" s="23"/>
      <x:c r="R13" s="20"/>
      <x:c r="S13" s="20"/>
      <x:c r="T13" s="20"/>
      <x:c r="U13" s="20"/>
      <x:c r="V13" s="20"/>
      <x:c r="W13" s="20"/>
      <x:c r="X13" s="20"/>
      <x:c r="Y13" s="23"/>
      <x:c r="Z13" s="20"/>
      <x:c r="AA13" s="20"/>
      <x:c r="AB13" s="20"/>
      <x:c r="AC13" s="23"/>
    </x:row>
    <x:row r="14">
      <x:c r="A14" s="20"/>
      <x:c r="B14" s="20"/>
      <x:c r="C14" s="20"/>
      <x:c r="D14" s="23"/>
      <x:c r="E14" s="20"/>
      <x:c r="F14" s="20"/>
      <x:c r="G14" s="20"/>
      <x:c r="H14" s="20"/>
      <x:c r="I14" s="20"/>
      <x:c r="J14" s="20"/>
      <x:c r="K14" s="20"/>
      <x:c r="L14" s="20"/>
      <x:c r="M14" s="20"/>
      <x:c r="N14" s="20"/>
      <x:c r="O14" s="20"/>
      <x:c r="P14" s="23"/>
      <x:c r="Q14" s="23"/>
      <x:c r="R14" s="20"/>
      <x:c r="S14" s="20"/>
      <x:c r="T14" s="20"/>
      <x:c r="U14" s="20"/>
      <x:c r="V14" s="20"/>
      <x:c r="W14" s="20"/>
      <x:c r="X14" s="20"/>
      <x:c r="Y14" s="23"/>
      <x:c r="Z14" s="20"/>
      <x:c r="AA14" s="20"/>
      <x:c r="AB14" s="20"/>
      <x:c r="AC14" s="23"/>
    </x:row>
    <x:row r="15">
      <x:c r="A15" s="20"/>
      <x:c r="B15" s="20"/>
      <x:c r="C15" s="20"/>
      <x:c r="D15" s="23"/>
      <x:c r="E15" s="20"/>
      <x:c r="F15" s="20"/>
      <x:c r="G15" s="20"/>
      <x:c r="H15" s="20"/>
      <x:c r="I15" s="20"/>
      <x:c r="J15" s="20"/>
      <x:c r="K15" s="20"/>
      <x:c r="L15" s="20"/>
      <x:c r="M15" s="20"/>
      <x:c r="N15" s="20"/>
      <x:c r="O15" s="20"/>
      <x:c r="P15" s="23"/>
      <x:c r="Q15" s="23"/>
      <x:c r="R15" s="20"/>
      <x:c r="S15" s="20"/>
      <x:c r="T15" s="20"/>
      <x:c r="U15" s="20"/>
      <x:c r="V15" s="20"/>
      <x:c r="W15" s="20"/>
      <x:c r="X15" s="20"/>
      <x:c r="Y15" s="23"/>
      <x:c r="Z15" s="20"/>
      <x:c r="AA15" s="20"/>
      <x:c r="AB15" s="20"/>
      <x:c r="AC15" s="23"/>
    </x:row>
    <x:row r="16">
      <x:c r="A16" s="20"/>
      <x:c r="B16" s="20"/>
      <x:c r="C16" s="20"/>
      <x:c r="D16" s="23"/>
      <x:c r="E16" s="20"/>
      <x:c r="F16" s="20"/>
      <x:c r="G16" s="20"/>
      <x:c r="H16" s="20"/>
      <x:c r="I16" s="20"/>
      <x:c r="J16" s="20"/>
      <x:c r="K16" s="20"/>
      <x:c r="L16" s="20"/>
      <x:c r="M16" s="20"/>
      <x:c r="N16" s="20"/>
      <x:c r="O16" s="20"/>
      <x:c r="P16" s="23"/>
      <x:c r="Q16" s="23"/>
      <x:c r="R16" s="20"/>
      <x:c r="S16" s="20"/>
      <x:c r="T16" s="20"/>
      <x:c r="U16" s="20"/>
      <x:c r="V16" s="20"/>
      <x:c r="W16" s="20"/>
      <x:c r="X16" s="20"/>
      <x:c r="Y16" s="23"/>
      <x:c r="Z16" s="20"/>
      <x:c r="AA16" s="20"/>
      <x:c r="AB16" s="20"/>
      <x:c r="AC16" s="23"/>
    </x:row>
    <x:row r="17">
      <x:c r="A17" s="20"/>
      <x:c r="B17" s="20"/>
      <x:c r="C17" s="20"/>
      <x:c r="D17" s="23"/>
      <x:c r="E17" s="20"/>
      <x:c r="F17" s="20"/>
      <x:c r="G17" s="20"/>
      <x:c r="H17" s="20"/>
      <x:c r="I17" s="20"/>
      <x:c r="J17" s="20"/>
      <x:c r="K17" s="20"/>
      <x:c r="L17" s="20"/>
      <x:c r="M17" s="20"/>
      <x:c r="N17" s="20"/>
      <x:c r="O17" s="20"/>
      <x:c r="P17" s="23"/>
      <x:c r="Q17" s="23"/>
      <x:c r="R17" s="20"/>
      <x:c r="S17" s="20"/>
      <x:c r="T17" s="20"/>
      <x:c r="U17" s="20"/>
      <x:c r="V17" s="20"/>
      <x:c r="W17" s="20"/>
      <x:c r="X17" s="20"/>
      <x:c r="Y17" s="23"/>
      <x:c r="Z17" s="20"/>
      <x:c r="AA17" s="20"/>
      <x:c r="AB17" s="20"/>
      <x:c r="AC17" s="23"/>
    </x:row>
    <x:row r="18">
      <x:c r="A18" s="20"/>
      <x:c r="B18" s="20"/>
      <x:c r="C18" s="20"/>
      <x:c r="D18" s="23"/>
      <x:c r="E18" s="20"/>
      <x:c r="F18" s="20"/>
      <x:c r="G18" s="20"/>
      <x:c r="H18" s="20"/>
      <x:c r="I18" s="20"/>
      <x:c r="J18" s="20"/>
      <x:c r="K18" s="20"/>
      <x:c r="L18" s="20"/>
      <x:c r="M18" s="20"/>
      <x:c r="N18" s="20"/>
      <x:c r="O18" s="20"/>
      <x:c r="P18" s="23"/>
      <x:c r="Q18" s="23"/>
      <x:c r="R18" s="20"/>
      <x:c r="S18" s="20"/>
      <x:c r="T18" s="20"/>
      <x:c r="U18" s="20"/>
      <x:c r="V18" s="20"/>
      <x:c r="W18" s="20"/>
      <x:c r="X18" s="20"/>
      <x:c r="Y18" s="23"/>
      <x:c r="Z18" s="20"/>
      <x:c r="AA18" s="20"/>
      <x:c r="AB18" s="20"/>
      <x:c r="AC18" s="23"/>
    </x:row>
    <x:row r="19">
      <x:c r="A19" s="20"/>
      <x:c r="B19" s="20"/>
      <x:c r="C19" s="20"/>
      <x:c r="D19" s="23"/>
      <x:c r="E19" s="20"/>
      <x:c r="F19" s="20"/>
      <x:c r="G19" s="20"/>
      <x:c r="H19" s="20"/>
      <x:c r="I19" s="20"/>
      <x:c r="J19" s="20"/>
      <x:c r="K19" s="20"/>
      <x:c r="L19" s="20"/>
      <x:c r="M19" s="20"/>
      <x:c r="N19" s="20"/>
      <x:c r="O19" s="20"/>
      <x:c r="P19" s="23"/>
      <x:c r="Q19" s="23"/>
      <x:c r="R19" s="20"/>
      <x:c r="S19" s="20"/>
      <x:c r="T19" s="20"/>
      <x:c r="U19" s="20"/>
      <x:c r="V19" s="20"/>
      <x:c r="W19" s="20"/>
      <x:c r="X19" s="20"/>
      <x:c r="Y19" s="23"/>
      <x:c r="Z19" s="20"/>
      <x:c r="AA19" s="20"/>
      <x:c r="AB19" s="20"/>
      <x:c r="AC19" s="23"/>
    </x:row>
    <x:row r="20">
      <x:c r="A20" s="20"/>
      <x:c r="B20" s="20"/>
      <x:c r="C20" s="20"/>
      <x:c r="D20" s="23"/>
      <x:c r="E20" s="20"/>
      <x:c r="F20" s="20"/>
      <x:c r="G20" s="20"/>
      <x:c r="H20" s="20"/>
      <x:c r="I20" s="20"/>
      <x:c r="J20" s="20"/>
      <x:c r="K20" s="20"/>
      <x:c r="L20" s="20"/>
      <x:c r="M20" s="20"/>
      <x:c r="N20" s="20"/>
      <x:c r="O20" s="20"/>
      <x:c r="P20" s="23"/>
      <x:c r="Q20" s="23"/>
      <x:c r="R20" s="20"/>
      <x:c r="S20" s="20"/>
      <x:c r="T20" s="20"/>
      <x:c r="U20" s="20"/>
      <x:c r="V20" s="20"/>
      <x:c r="W20" s="20"/>
      <x:c r="X20" s="20"/>
      <x:c r="Y20" s="23"/>
      <x:c r="Z20" s="20"/>
      <x:c r="AA20" s="20"/>
      <x:c r="AB20" s="20"/>
      <x:c r="AC20" s="23"/>
    </x:row>
    <x:row r="21">
      <x:c r="A21" s="20"/>
      <x:c r="B21" s="20"/>
      <x:c r="C21" s="20"/>
      <x:c r="D21" s="23"/>
      <x:c r="E21" s="20"/>
      <x:c r="F21" s="20"/>
      <x:c r="G21" s="20"/>
      <x:c r="H21" s="20"/>
      <x:c r="I21" s="20"/>
      <x:c r="J21" s="20"/>
      <x:c r="K21" s="20"/>
      <x:c r="L21" s="20"/>
      <x:c r="M21" s="20"/>
      <x:c r="N21" s="20"/>
      <x:c r="O21" s="20"/>
      <x:c r="P21" s="23"/>
      <x:c r="Q21" s="23"/>
      <x:c r="R21" s="20"/>
      <x:c r="S21" s="20"/>
      <x:c r="T21" s="20"/>
      <x:c r="U21" s="20"/>
      <x:c r="V21" s="20"/>
      <x:c r="W21" s="20"/>
      <x:c r="X21" s="20"/>
      <x:c r="Y21" s="23"/>
      <x:c r="Z21" s="20"/>
      <x:c r="AA21" s="20"/>
      <x:c r="AB21" s="20"/>
      <x:c r="AC21" s="23"/>
    </x:row>
    <x:row r="22">
      <x:c r="A22" s="20"/>
      <x:c r="B22" s="20"/>
      <x:c r="C22" s="20"/>
      <x:c r="D22" s="23"/>
      <x:c r="E22" s="20"/>
      <x:c r="F22" s="20"/>
      <x:c r="G22" s="20"/>
      <x:c r="H22" s="20"/>
      <x:c r="I22" s="20"/>
      <x:c r="J22" s="20"/>
      <x:c r="K22" s="20"/>
      <x:c r="L22" s="20"/>
      <x:c r="M22" s="20"/>
      <x:c r="N22" s="20"/>
      <x:c r="O22" s="20"/>
      <x:c r="P22" s="23"/>
      <x:c r="Q22" s="23"/>
      <x:c r="R22" s="20"/>
      <x:c r="S22" s="20"/>
      <x:c r="T22" s="20"/>
      <x:c r="U22" s="20"/>
      <x:c r="V22" s="20"/>
      <x:c r="W22" s="20"/>
      <x:c r="X22" s="20"/>
      <x:c r="Y22" s="23"/>
      <x:c r="Z22" s="20"/>
      <x:c r="AA22" s="20"/>
      <x:c r="AB22" s="20"/>
      <x:c r="AC22" s="23"/>
    </x:row>
    <x:row r="23">
      <x:c r="A23" s="20"/>
      <x:c r="B23" s="20"/>
      <x:c r="C23" s="20"/>
      <x:c r="D23" s="23"/>
      <x:c r="E23" s="20"/>
      <x:c r="F23" s="20"/>
      <x:c r="G23" s="20"/>
      <x:c r="H23" s="20"/>
      <x:c r="I23" s="20"/>
      <x:c r="J23" s="20"/>
      <x:c r="K23" s="20"/>
      <x:c r="L23" s="20"/>
      <x:c r="M23" s="20"/>
      <x:c r="N23" s="20"/>
      <x:c r="O23" s="20"/>
      <x:c r="P23" s="23"/>
      <x:c r="Q23" s="23"/>
      <x:c r="R23" s="20"/>
      <x:c r="S23" s="20"/>
      <x:c r="T23" s="20"/>
      <x:c r="U23" s="20"/>
      <x:c r="V23" s="20"/>
      <x:c r="W23" s="20"/>
      <x:c r="X23" s="20"/>
      <x:c r="Y23" s="23"/>
      <x:c r="Z23" s="20"/>
      <x:c r="AA23" s="20"/>
      <x:c r="AB23" s="20"/>
      <x:c r="AC23" s="23"/>
    </x:row>
    <x:row r="24">
      <x:c r="A24" s="20"/>
      <x:c r="B24" s="20"/>
      <x:c r="C24" s="20"/>
      <x:c r="D24" s="23"/>
      <x:c r="E24" s="20"/>
      <x:c r="F24" s="20"/>
      <x:c r="G24" s="20"/>
      <x:c r="H24" s="20"/>
      <x:c r="I24" s="20"/>
      <x:c r="J24" s="20"/>
      <x:c r="K24" s="20"/>
      <x:c r="L24" s="20"/>
      <x:c r="M24" s="20"/>
      <x:c r="N24" s="20"/>
      <x:c r="O24" s="20"/>
      <x:c r="P24" s="23"/>
      <x:c r="Q24" s="23"/>
      <x:c r="R24" s="20"/>
      <x:c r="S24" s="20"/>
      <x:c r="T24" s="20"/>
      <x:c r="U24" s="20"/>
      <x:c r="V24" s="20"/>
      <x:c r="W24" s="20"/>
      <x:c r="X24" s="20"/>
      <x:c r="Y24" s="23"/>
      <x:c r="Z24" s="20"/>
      <x:c r="AA24" s="20"/>
      <x:c r="AB24" s="20"/>
      <x:c r="AC24" s="23"/>
    </x:row>
    <x:row r="25">
      <x:c r="A25" s="20"/>
      <x:c r="B25" s="20"/>
      <x:c r="C25" s="20"/>
      <x:c r="D25" s="23"/>
      <x:c r="E25" s="20"/>
      <x:c r="F25" s="20"/>
      <x:c r="G25" s="20"/>
      <x:c r="H25" s="20"/>
      <x:c r="I25" s="20"/>
      <x:c r="J25" s="20"/>
      <x:c r="K25" s="20"/>
      <x:c r="L25" s="20"/>
      <x:c r="M25" s="20"/>
      <x:c r="N25" s="20"/>
      <x:c r="O25" s="20"/>
      <x:c r="P25" s="23"/>
      <x:c r="Q25" s="23"/>
      <x:c r="R25" s="20"/>
      <x:c r="S25" s="20"/>
      <x:c r="T25" s="20"/>
      <x:c r="U25" s="20"/>
      <x:c r="V25" s="20"/>
      <x:c r="W25" s="20"/>
      <x:c r="X25" s="20"/>
      <x:c r="Y25" s="23"/>
      <x:c r="Z25" s="20"/>
      <x:c r="AA25" s="20"/>
      <x:c r="AB25" s="20"/>
      <x:c r="AC25" s="23"/>
    </x:row>
    <x:row r="26">
      <x:c r="A26" s="20"/>
      <x:c r="B26" s="20"/>
      <x:c r="C26" s="20"/>
      <x:c r="D26" s="23"/>
      <x:c r="E26" s="20"/>
      <x:c r="F26" s="20"/>
      <x:c r="G26" s="20"/>
      <x:c r="H26" s="20"/>
      <x:c r="I26" s="20"/>
      <x:c r="J26" s="20"/>
      <x:c r="K26" s="20"/>
      <x:c r="L26" s="20"/>
      <x:c r="M26" s="20"/>
      <x:c r="N26" s="20"/>
      <x:c r="O26" s="20"/>
      <x:c r="P26" s="23"/>
      <x:c r="Q26" s="23"/>
      <x:c r="R26" s="20"/>
      <x:c r="S26" s="20"/>
      <x:c r="T26" s="20"/>
      <x:c r="U26" s="20"/>
      <x:c r="V26" s="20"/>
      <x:c r="W26" s="20"/>
      <x:c r="X26" s="20"/>
      <x:c r="Y26" s="23"/>
      <x:c r="Z26" s="20"/>
      <x:c r="AA26" s="20"/>
      <x:c r="AB26" s="20"/>
      <x:c r="AC26" s="23"/>
    </x:row>
    <x:row r="27">
      <x:c r="A27" s="20"/>
      <x:c r="B27" s="20"/>
      <x:c r="C27" s="20"/>
      <x:c r="D27" s="23"/>
      <x:c r="E27" s="20"/>
      <x:c r="F27" s="20"/>
      <x:c r="G27" s="20"/>
      <x:c r="H27" s="20"/>
      <x:c r="I27" s="20"/>
      <x:c r="J27" s="20"/>
      <x:c r="K27" s="20"/>
      <x:c r="L27" s="20"/>
      <x:c r="M27" s="20"/>
      <x:c r="N27" s="20"/>
      <x:c r="O27" s="20"/>
      <x:c r="P27" s="23"/>
      <x:c r="Q27" s="23"/>
      <x:c r="R27" s="20"/>
      <x:c r="S27" s="20"/>
      <x:c r="T27" s="20"/>
      <x:c r="U27" s="20"/>
      <x:c r="V27" s="20"/>
      <x:c r="W27" s="20"/>
      <x:c r="X27" s="20"/>
      <x:c r="Y27" s="23"/>
      <x:c r="Z27" s="20"/>
      <x:c r="AA27" s="20"/>
      <x:c r="AB27" s="20"/>
      <x:c r="AC27" s="23"/>
    </x:row>
    <x:row r="28">
      <x:c r="A28" s="20"/>
      <x:c r="B28" s="20"/>
      <x:c r="C28" s="20"/>
      <x:c r="D28" s="23"/>
      <x:c r="E28" s="20"/>
      <x:c r="F28" s="20"/>
      <x:c r="G28" s="20"/>
      <x:c r="H28" s="20"/>
      <x:c r="I28" s="20"/>
      <x:c r="J28" s="20"/>
      <x:c r="K28" s="20"/>
      <x:c r="L28" s="20"/>
      <x:c r="M28" s="20"/>
      <x:c r="N28" s="20"/>
      <x:c r="O28" s="20"/>
      <x:c r="P28" s="23"/>
      <x:c r="Q28" s="23"/>
      <x:c r="R28" s="20"/>
      <x:c r="S28" s="20"/>
      <x:c r="T28" s="20"/>
      <x:c r="U28" s="20"/>
      <x:c r="V28" s="20"/>
      <x:c r="W28" s="20"/>
      <x:c r="X28" s="20"/>
      <x:c r="Y28" s="23"/>
      <x:c r="Z28" s="20"/>
      <x:c r="AA28" s="20"/>
      <x:c r="AB28" s="20"/>
      <x:c r="AC28" s="23"/>
    </x:row>
    <x:row r="29">
      <x:c r="A29" s="20"/>
      <x:c r="B29" s="20"/>
      <x:c r="C29" s="20"/>
      <x:c r="D29" s="23"/>
      <x:c r="E29" s="20"/>
      <x:c r="F29" s="20"/>
      <x:c r="G29" s="20"/>
      <x:c r="H29" s="20"/>
      <x:c r="I29" s="20"/>
      <x:c r="J29" s="20"/>
      <x:c r="K29" s="20"/>
      <x:c r="L29" s="20"/>
      <x:c r="M29" s="20"/>
      <x:c r="N29" s="20"/>
      <x:c r="O29" s="20"/>
      <x:c r="P29" s="23"/>
      <x:c r="Q29" s="23"/>
      <x:c r="R29" s="20"/>
      <x:c r="S29" s="20"/>
      <x:c r="T29" s="20"/>
      <x:c r="U29" s="20"/>
      <x:c r="V29" s="20"/>
      <x:c r="W29" s="20"/>
      <x:c r="X29" s="20"/>
      <x:c r="Y29" s="23"/>
      <x:c r="Z29" s="20"/>
      <x:c r="AA29" s="20"/>
      <x:c r="AB29" s="20"/>
      <x:c r="AC29" s="23"/>
    </x:row>
    <x:row r="30">
      <x:c r="A30" s="20"/>
      <x:c r="B30" s="20"/>
      <x:c r="C30" s="20"/>
      <x:c r="D30" s="23"/>
      <x:c r="E30" s="20"/>
      <x:c r="F30" s="20"/>
      <x:c r="G30" s="20"/>
      <x:c r="H30" s="20"/>
      <x:c r="I30" s="20"/>
      <x:c r="J30" s="20"/>
      <x:c r="K30" s="20"/>
      <x:c r="L30" s="20"/>
      <x:c r="M30" s="20"/>
      <x:c r="N30" s="20"/>
      <x:c r="O30" s="20"/>
      <x:c r="P30" s="23"/>
      <x:c r="Q30" s="23"/>
      <x:c r="R30" s="20"/>
      <x:c r="S30" s="20"/>
      <x:c r="T30" s="20"/>
      <x:c r="U30" s="20"/>
      <x:c r="V30" s="20"/>
      <x:c r="W30" s="20"/>
      <x:c r="X30" s="20"/>
      <x:c r="Y30" s="23"/>
      <x:c r="Z30" s="20"/>
      <x:c r="AA30" s="20"/>
      <x:c r="AB30" s="20"/>
      <x:c r="AC30" s="23"/>
    </x:row>
    <x:row r="31">
      <x:c r="A31" s="20"/>
      <x:c r="B31" s="20"/>
      <x:c r="C31" s="20"/>
      <x:c r="D31" s="23"/>
      <x:c r="E31" s="20"/>
      <x:c r="F31" s="20"/>
      <x:c r="G31" s="20"/>
      <x:c r="H31" s="20"/>
      <x:c r="I31" s="20"/>
      <x:c r="J31" s="20"/>
      <x:c r="K31" s="20"/>
      <x:c r="L31" s="20"/>
      <x:c r="M31" s="20"/>
      <x:c r="N31" s="20"/>
      <x:c r="O31" s="20"/>
      <x:c r="P31" s="23"/>
      <x:c r="Q31" s="23"/>
      <x:c r="R31" s="20"/>
      <x:c r="S31" s="20"/>
      <x:c r="T31" s="20"/>
      <x:c r="U31" s="20"/>
      <x:c r="V31" s="20"/>
      <x:c r="W31" s="20"/>
      <x:c r="X31" s="20"/>
      <x:c r="Y31" s="23"/>
      <x:c r="Z31" s="20"/>
      <x:c r="AA31" s="20"/>
      <x:c r="AB31" s="20"/>
      <x:c r="AC31" s="23"/>
    </x:row>
    <x:row r="32">
      <x:c r="A32" s="20"/>
      <x:c r="B32" s="20"/>
      <x:c r="C32" s="20"/>
      <x:c r="D32" s="23"/>
      <x:c r="E32" s="20"/>
      <x:c r="F32" s="20"/>
      <x:c r="G32" s="20"/>
      <x:c r="H32" s="20"/>
      <x:c r="I32" s="20"/>
      <x:c r="J32" s="20"/>
      <x:c r="K32" s="20"/>
      <x:c r="L32" s="20"/>
      <x:c r="M32" s="20"/>
      <x:c r="N32" s="20"/>
      <x:c r="O32" s="20"/>
      <x:c r="P32" s="23"/>
      <x:c r="Q32" s="23"/>
      <x:c r="R32" s="20"/>
      <x:c r="S32" s="20"/>
      <x:c r="T32" s="20"/>
      <x:c r="U32" s="20"/>
      <x:c r="V32" s="20"/>
      <x:c r="W32" s="20"/>
      <x:c r="X32" s="20"/>
      <x:c r="Y32" s="23"/>
      <x:c r="Z32" s="20"/>
      <x:c r="AA32" s="20"/>
      <x:c r="AB32" s="20"/>
      <x:c r="AC32" s="23"/>
    </x:row>
    <x:row r="33">
      <x:c r="A33" s="20"/>
      <x:c r="B33" s="20"/>
      <x:c r="C33" s="20"/>
      <x:c r="D33" s="23"/>
      <x:c r="E33" s="20"/>
      <x:c r="F33" s="20"/>
      <x:c r="G33" s="20"/>
      <x:c r="H33" s="20"/>
      <x:c r="I33" s="20"/>
      <x:c r="J33" s="20"/>
      <x:c r="K33" s="20"/>
      <x:c r="L33" s="20"/>
      <x:c r="M33" s="20"/>
      <x:c r="N33" s="20"/>
      <x:c r="O33" s="20"/>
      <x:c r="P33" s="23"/>
      <x:c r="Q33" s="23"/>
      <x:c r="R33" s="20"/>
      <x:c r="S33" s="20"/>
      <x:c r="T33" s="20"/>
      <x:c r="U33" s="20"/>
      <x:c r="V33" s="20"/>
      <x:c r="W33" s="20"/>
      <x:c r="X33" s="20"/>
      <x:c r="Y33" s="23"/>
      <x:c r="Z33" s="20"/>
      <x:c r="AA33" s="20"/>
      <x:c r="AB33" s="20"/>
      <x:c r="AC33" s="23"/>
    </x:row>
    <x:row r="34">
      <x:c r="A34" s="20"/>
      <x:c r="B34" s="20"/>
      <x:c r="C34" s="20"/>
      <x:c r="D34" s="23"/>
      <x:c r="E34" s="20"/>
      <x:c r="F34" s="20"/>
      <x:c r="G34" s="20"/>
      <x:c r="H34" s="20"/>
      <x:c r="I34" s="20"/>
      <x:c r="J34" s="20"/>
      <x:c r="K34" s="20"/>
      <x:c r="L34" s="20"/>
      <x:c r="M34" s="20"/>
      <x:c r="N34" s="20"/>
      <x:c r="O34" s="20"/>
      <x:c r="P34" s="23"/>
      <x:c r="Q34" s="23"/>
      <x:c r="R34" s="20"/>
      <x:c r="S34" s="20"/>
      <x:c r="T34" s="20"/>
      <x:c r="U34" s="20"/>
      <x:c r="V34" s="20"/>
      <x:c r="W34" s="20"/>
      <x:c r="X34" s="20"/>
      <x:c r="Y34" s="23"/>
      <x:c r="Z34" s="20"/>
      <x:c r="AA34" s="20"/>
      <x:c r="AB34" s="20"/>
      <x:c r="AC34" s="23"/>
    </x:row>
    <x:row r="35">
      <x:c r="A35" s="20"/>
      <x:c r="B35" s="20"/>
      <x:c r="C35" s="20"/>
      <x:c r="D35" s="23"/>
      <x:c r="E35" s="20"/>
      <x:c r="F35" s="20"/>
      <x:c r="G35" s="20"/>
      <x:c r="H35" s="20"/>
      <x:c r="I35" s="20"/>
      <x:c r="J35" s="20"/>
      <x:c r="K35" s="20"/>
      <x:c r="L35" s="20"/>
      <x:c r="M35" s="20"/>
      <x:c r="N35" s="20"/>
      <x:c r="O35" s="20"/>
      <x:c r="P35" s="23"/>
      <x:c r="Q35" s="23"/>
      <x:c r="R35" s="20"/>
      <x:c r="S35" s="20"/>
      <x:c r="T35" s="20"/>
      <x:c r="U35" s="20"/>
      <x:c r="V35" s="20"/>
      <x:c r="W35" s="20"/>
      <x:c r="X35" s="20"/>
      <x:c r="Y35" s="23"/>
      <x:c r="Z35" s="20"/>
      <x:c r="AA35" s="20"/>
      <x:c r="AB35" s="20"/>
      <x:c r="AC35" s="23"/>
    </x:row>
    <x:row r="36">
      <x:c r="A36" s="20"/>
      <x:c r="B36" s="20"/>
      <x:c r="C36" s="20"/>
      <x:c r="D36" s="23"/>
      <x:c r="E36" s="20"/>
      <x:c r="F36" s="20"/>
      <x:c r="G36" s="20"/>
      <x:c r="H36" s="20"/>
      <x:c r="I36" s="20"/>
      <x:c r="J36" s="20"/>
      <x:c r="K36" s="20"/>
      <x:c r="L36" s="20"/>
      <x:c r="M36" s="20"/>
      <x:c r="N36" s="20"/>
      <x:c r="O36" s="20"/>
      <x:c r="P36" s="23"/>
      <x:c r="Q36" s="23"/>
      <x:c r="R36" s="20"/>
      <x:c r="S36" s="20"/>
      <x:c r="T36" s="20"/>
      <x:c r="U36" s="20"/>
      <x:c r="V36" s="20"/>
      <x:c r="W36" s="20"/>
      <x:c r="X36" s="20"/>
      <x:c r="Y36" s="23"/>
      <x:c r="Z36" s="20"/>
      <x:c r="AA36" s="20"/>
      <x:c r="AB36" s="20"/>
      <x:c r="AC36" s="23"/>
    </x:row>
    <x:row r="37">
      <x:c r="A37" s="20"/>
      <x:c r="B37" s="20"/>
      <x:c r="C37" s="20"/>
      <x:c r="D37" s="23"/>
      <x:c r="E37" s="20"/>
      <x:c r="F37" s="20"/>
      <x:c r="G37" s="20"/>
      <x:c r="H37" s="20"/>
      <x:c r="I37" s="20"/>
      <x:c r="J37" s="20"/>
      <x:c r="K37" s="20"/>
      <x:c r="L37" s="20"/>
      <x:c r="M37" s="20"/>
      <x:c r="N37" s="20"/>
      <x:c r="O37" s="20"/>
      <x:c r="P37" s="23"/>
      <x:c r="Q37" s="23"/>
      <x:c r="R37" s="20"/>
      <x:c r="S37" s="20"/>
      <x:c r="T37" s="20"/>
      <x:c r="U37" s="20"/>
      <x:c r="V37" s="20"/>
      <x:c r="W37" s="20"/>
      <x:c r="X37" s="20"/>
      <x:c r="Y37" s="23"/>
      <x:c r="Z37" s="20"/>
      <x:c r="AA37" s="20"/>
      <x:c r="AB37" s="20"/>
      <x:c r="AC37" s="23"/>
    </x:row>
    <x:row r="38">
      <x:c r="A38" s="20"/>
      <x:c r="B38" s="20"/>
      <x:c r="C38" s="20"/>
      <x:c r="D38" s="23"/>
      <x:c r="E38" s="20"/>
      <x:c r="F38" s="20"/>
      <x:c r="G38" s="20"/>
      <x:c r="H38" s="20"/>
      <x:c r="I38" s="20"/>
      <x:c r="J38" s="20"/>
      <x:c r="K38" s="20"/>
      <x:c r="L38" s="20"/>
      <x:c r="M38" s="20"/>
      <x:c r="N38" s="20"/>
      <x:c r="O38" s="20"/>
      <x:c r="P38" s="23"/>
      <x:c r="Q38" s="23"/>
      <x:c r="R38" s="20"/>
      <x:c r="S38" s="20"/>
      <x:c r="T38" s="20"/>
      <x:c r="U38" s="20"/>
      <x:c r="V38" s="20"/>
      <x:c r="W38" s="20"/>
      <x:c r="X38" s="20"/>
      <x:c r="Y38" s="23"/>
      <x:c r="Z38" s="20"/>
      <x:c r="AA38" s="20"/>
      <x:c r="AB38" s="20"/>
      <x:c r="AC38" s="23"/>
    </x:row>
    <x:row r="39">
      <x:c r="A39" s="20"/>
      <x:c r="B39" s="20"/>
      <x:c r="C39" s="20"/>
      <x:c r="D39" s="23"/>
      <x:c r="E39" s="20"/>
      <x:c r="F39" s="20"/>
      <x:c r="G39" s="20"/>
      <x:c r="H39" s="20"/>
      <x:c r="I39" s="20"/>
      <x:c r="J39" s="20"/>
      <x:c r="K39" s="20"/>
      <x:c r="L39" s="20"/>
      <x:c r="M39" s="20"/>
      <x:c r="N39" s="20"/>
      <x:c r="O39" s="20"/>
      <x:c r="P39" s="23"/>
      <x:c r="Q39" s="23"/>
      <x:c r="R39" s="20"/>
      <x:c r="S39" s="20"/>
      <x:c r="T39" s="20"/>
      <x:c r="U39" s="20"/>
      <x:c r="V39" s="20"/>
      <x:c r="W39" s="20"/>
      <x:c r="X39" s="20"/>
      <x:c r="Y39" s="23"/>
      <x:c r="Z39" s="20"/>
      <x:c r="AA39" s="20"/>
      <x:c r="AB39" s="20"/>
      <x:c r="AC39" s="23"/>
    </x:row>
    <x:row r="40">
      <x:c r="A40" s="20"/>
      <x:c r="B40" s="20"/>
      <x:c r="C40" s="20"/>
      <x:c r="D40" s="23"/>
      <x:c r="E40" s="20"/>
      <x:c r="F40" s="20"/>
      <x:c r="G40" s="20"/>
      <x:c r="H40" s="20"/>
      <x:c r="I40" s="20"/>
      <x:c r="J40" s="20"/>
      <x:c r="K40" s="20"/>
      <x:c r="L40" s="20"/>
      <x:c r="M40" s="20"/>
      <x:c r="N40" s="20"/>
      <x:c r="O40" s="20"/>
      <x:c r="P40" s="23"/>
      <x:c r="Q40" s="23"/>
      <x:c r="R40" s="20"/>
      <x:c r="S40" s="20"/>
      <x:c r="T40" s="20"/>
      <x:c r="U40" s="20"/>
      <x:c r="V40" s="20"/>
      <x:c r="W40" s="20"/>
      <x:c r="X40" s="20"/>
      <x:c r="Y40" s="23"/>
      <x:c r="Z40" s="20"/>
      <x:c r="AA40" s="20"/>
      <x:c r="AB40" s="20"/>
      <x:c r="AC40" s="23"/>
    </x:row>
    <x:row r="41">
      <x:c r="A41" s="20"/>
      <x:c r="B41" s="20"/>
      <x:c r="C41" s="20"/>
      <x:c r="D41" s="23"/>
      <x:c r="E41" s="20"/>
      <x:c r="F41" s="20"/>
      <x:c r="G41" s="20"/>
      <x:c r="H41" s="20"/>
      <x:c r="I41" s="20"/>
      <x:c r="J41" s="20"/>
      <x:c r="K41" s="20"/>
      <x:c r="L41" s="20"/>
      <x:c r="M41" s="20"/>
      <x:c r="N41" s="20"/>
      <x:c r="O41" s="20"/>
      <x:c r="P41" s="23"/>
      <x:c r="Q41" s="23"/>
      <x:c r="R41" s="20"/>
      <x:c r="S41" s="20"/>
      <x:c r="T41" s="20"/>
      <x:c r="U41" s="20"/>
      <x:c r="V41" s="20"/>
      <x:c r="W41" s="20"/>
      <x:c r="X41" s="20"/>
      <x:c r="Y41" s="23"/>
      <x:c r="Z41" s="20"/>
      <x:c r="AA41" s="20"/>
      <x:c r="AB41" s="20"/>
      <x:c r="AC41" s="23"/>
    </x:row>
    <x:row r="42">
      <x:c r="A42" s="20"/>
      <x:c r="B42" s="20"/>
      <x:c r="C42" s="20"/>
      <x:c r="D42" s="23"/>
      <x:c r="E42" s="20"/>
      <x:c r="F42" s="20"/>
      <x:c r="G42" s="20"/>
      <x:c r="H42" s="20"/>
      <x:c r="I42" s="20"/>
      <x:c r="J42" s="20"/>
      <x:c r="K42" s="20"/>
      <x:c r="L42" s="20"/>
      <x:c r="M42" s="20"/>
      <x:c r="N42" s="20"/>
      <x:c r="O42" s="20"/>
      <x:c r="P42" s="23"/>
      <x:c r="Q42" s="23"/>
      <x:c r="R42" s="20"/>
      <x:c r="S42" s="20"/>
      <x:c r="T42" s="20"/>
      <x:c r="U42" s="20"/>
      <x:c r="V42" s="20"/>
      <x:c r="W42" s="20"/>
      <x:c r="X42" s="20"/>
      <x:c r="Y42" s="23"/>
      <x:c r="Z42" s="20"/>
      <x:c r="AA42" s="20"/>
      <x:c r="AB42" s="20"/>
      <x:c r="AC42" s="23"/>
    </x:row>
    <x:row r="43">
      <x:c r="A43" s="20"/>
      <x:c r="B43" s="20"/>
      <x:c r="C43" s="20"/>
      <x:c r="D43" s="23"/>
      <x:c r="E43" s="20"/>
      <x:c r="F43" s="20"/>
      <x:c r="G43" s="20"/>
      <x:c r="H43" s="20"/>
      <x:c r="I43" s="20"/>
      <x:c r="J43" s="20"/>
      <x:c r="K43" s="20"/>
      <x:c r="L43" s="20"/>
      <x:c r="M43" s="20"/>
      <x:c r="N43" s="20"/>
      <x:c r="O43" s="20"/>
      <x:c r="P43" s="23"/>
      <x:c r="Q43" s="23"/>
      <x:c r="R43" s="20"/>
      <x:c r="S43" s="20"/>
      <x:c r="T43" s="20"/>
      <x:c r="U43" s="20"/>
      <x:c r="V43" s="20"/>
      <x:c r="W43" s="20"/>
      <x:c r="X43" s="20"/>
      <x:c r="Y43" s="23"/>
      <x:c r="Z43" s="20"/>
      <x:c r="AA43" s="20"/>
      <x:c r="AB43" s="20"/>
      <x:c r="AC43" s="23"/>
    </x:row>
    <x:row r="44">
      <x:c r="A44" s="20"/>
      <x:c r="B44" s="20"/>
      <x:c r="C44" s="20"/>
      <x:c r="D44" s="23"/>
      <x:c r="E44" s="20"/>
      <x:c r="F44" s="20"/>
      <x:c r="G44" s="20"/>
      <x:c r="H44" s="20"/>
      <x:c r="I44" s="20"/>
      <x:c r="J44" s="20"/>
      <x:c r="K44" s="20"/>
      <x:c r="L44" s="20"/>
      <x:c r="M44" s="20"/>
      <x:c r="N44" s="20"/>
      <x:c r="O44" s="20"/>
      <x:c r="P44" s="23"/>
      <x:c r="Q44" s="23"/>
      <x:c r="R44" s="20"/>
      <x:c r="S44" s="20"/>
      <x:c r="T44" s="20"/>
      <x:c r="U44" s="20"/>
      <x:c r="V44" s="20"/>
      <x:c r="W44" s="20"/>
      <x:c r="X44" s="20"/>
      <x:c r="Y44" s="23"/>
      <x:c r="Z44" s="20"/>
      <x:c r="AA44" s="20"/>
      <x:c r="AB44" s="20"/>
      <x:c r="AC44" s="23"/>
    </x:row>
    <x:row r="45">
      <x:c r="A45" s="20"/>
      <x:c r="B45" s="20"/>
      <x:c r="C45" s="20"/>
      <x:c r="D45" s="23"/>
      <x:c r="E45" s="20"/>
      <x:c r="F45" s="20"/>
      <x:c r="G45" s="20"/>
      <x:c r="H45" s="20"/>
      <x:c r="I45" s="20"/>
      <x:c r="J45" s="20"/>
      <x:c r="K45" s="20"/>
      <x:c r="L45" s="20"/>
      <x:c r="M45" s="20"/>
      <x:c r="N45" s="20"/>
      <x:c r="O45" s="20"/>
      <x:c r="P45" s="23"/>
      <x:c r="Q45" s="23"/>
      <x:c r="R45" s="20"/>
      <x:c r="S45" s="20"/>
      <x:c r="T45" s="20"/>
      <x:c r="U45" s="20"/>
      <x:c r="V45" s="20"/>
      <x:c r="W45" s="20"/>
      <x:c r="X45" s="20"/>
      <x:c r="Y45" s="23"/>
      <x:c r="Z45" s="20"/>
      <x:c r="AA45" s="20"/>
      <x:c r="AB45" s="20"/>
      <x:c r="AC45" s="23"/>
    </x:row>
    <x:row r="46">
      <x:c r="A46" s="20"/>
      <x:c r="B46" s="20"/>
      <x:c r="C46" s="20"/>
      <x:c r="D46" s="23"/>
      <x:c r="E46" s="20"/>
      <x:c r="F46" s="20"/>
      <x:c r="G46" s="20"/>
      <x:c r="H46" s="20"/>
      <x:c r="I46" s="20"/>
      <x:c r="J46" s="20"/>
      <x:c r="K46" s="20"/>
      <x:c r="L46" s="20"/>
      <x:c r="M46" s="20"/>
      <x:c r="N46" s="20"/>
      <x:c r="O46" s="20"/>
      <x:c r="P46" s="23"/>
      <x:c r="Q46" s="23"/>
      <x:c r="R46" s="20"/>
      <x:c r="S46" s="20"/>
      <x:c r="T46" s="20"/>
      <x:c r="U46" s="20"/>
      <x:c r="V46" s="20"/>
      <x:c r="W46" s="20"/>
      <x:c r="X46" s="20"/>
      <x:c r="Y46" s="23"/>
      <x:c r="Z46" s="20"/>
      <x:c r="AA46" s="20"/>
      <x:c r="AB46" s="20"/>
      <x:c r="AC46" s="23"/>
    </x:row>
    <x:row r="47">
      <x:c r="A47" s="20"/>
      <x:c r="B47" s="20"/>
      <x:c r="C47" s="20"/>
      <x:c r="D47" s="23"/>
      <x:c r="E47" s="20"/>
      <x:c r="F47" s="20"/>
      <x:c r="G47" s="20"/>
      <x:c r="H47" s="20"/>
      <x:c r="I47" s="20"/>
      <x:c r="J47" s="20"/>
      <x:c r="K47" s="20"/>
      <x:c r="L47" s="20"/>
      <x:c r="M47" s="20"/>
      <x:c r="N47" s="20"/>
      <x:c r="O47" s="20"/>
      <x:c r="P47" s="23"/>
      <x:c r="Q47" s="23"/>
      <x:c r="R47" s="20"/>
      <x:c r="S47" s="20"/>
      <x:c r="T47" s="20"/>
      <x:c r="U47" s="20"/>
      <x:c r="V47" s="20"/>
      <x:c r="W47" s="20"/>
      <x:c r="X47" s="20"/>
      <x:c r="Y47" s="23"/>
      <x:c r="Z47" s="20"/>
      <x:c r="AA47" s="20"/>
      <x:c r="AB47" s="20"/>
      <x:c r="AC47" s="23"/>
    </x:row>
    <x:row r="48">
      <x:c r="A48" s="20"/>
      <x:c r="B48" s="20"/>
      <x:c r="C48" s="20"/>
      <x:c r="D48" s="23"/>
      <x:c r="E48" s="20"/>
      <x:c r="F48" s="20"/>
      <x:c r="G48" s="20"/>
      <x:c r="H48" s="20"/>
      <x:c r="I48" s="20"/>
      <x:c r="J48" s="20"/>
      <x:c r="K48" s="20"/>
      <x:c r="L48" s="20"/>
      <x:c r="M48" s="20"/>
      <x:c r="N48" s="20"/>
      <x:c r="O48" s="20"/>
      <x:c r="P48" s="23"/>
      <x:c r="Q48" s="23"/>
      <x:c r="R48" s="20"/>
      <x:c r="S48" s="20"/>
      <x:c r="T48" s="20"/>
      <x:c r="U48" s="20"/>
      <x:c r="V48" s="20"/>
      <x:c r="W48" s="20"/>
      <x:c r="X48" s="20"/>
      <x:c r="Y48" s="23"/>
      <x:c r="Z48" s="20"/>
      <x:c r="AA48" s="20"/>
      <x:c r="AB48" s="20"/>
      <x:c r="AC48" s="23"/>
    </x:row>
    <x:row r="49">
      <x:c r="A49" s="20"/>
      <x:c r="B49" s="20"/>
      <x:c r="C49" s="20"/>
      <x:c r="D49" s="23"/>
      <x:c r="E49" s="20"/>
      <x:c r="F49" s="20"/>
      <x:c r="G49" s="20"/>
      <x:c r="H49" s="20"/>
      <x:c r="I49" s="20"/>
      <x:c r="J49" s="20"/>
      <x:c r="K49" s="20"/>
      <x:c r="L49" s="20"/>
      <x:c r="M49" s="20"/>
      <x:c r="N49" s="20"/>
      <x:c r="O49" s="20"/>
      <x:c r="P49" s="23"/>
      <x:c r="Q49" s="23"/>
      <x:c r="R49" s="20"/>
      <x:c r="S49" s="20"/>
      <x:c r="T49" s="20"/>
      <x:c r="U49" s="20"/>
      <x:c r="V49" s="20"/>
      <x:c r="W49" s="20"/>
      <x:c r="X49" s="20"/>
      <x:c r="Y49" s="23"/>
      <x:c r="Z49" s="20"/>
      <x:c r="AA49" s="20"/>
      <x:c r="AB49" s="20"/>
      <x:c r="AC49" s="23"/>
    </x:row>
    <x:row r="50">
      <x:c r="A50" s="20"/>
      <x:c r="B50" s="20"/>
      <x:c r="C50" s="20"/>
      <x:c r="D50" s="23"/>
      <x:c r="E50" s="20"/>
      <x:c r="F50" s="20"/>
      <x:c r="G50" s="20"/>
      <x:c r="H50" s="20"/>
      <x:c r="I50" s="20"/>
      <x:c r="J50" s="20"/>
      <x:c r="K50" s="20"/>
      <x:c r="L50" s="20"/>
      <x:c r="M50" s="20"/>
      <x:c r="N50" s="20"/>
      <x:c r="O50" s="20"/>
      <x:c r="P50" s="23"/>
      <x:c r="Q50" s="23"/>
      <x:c r="R50" s="20"/>
      <x:c r="S50" s="20"/>
      <x:c r="T50" s="20"/>
      <x:c r="U50" s="20"/>
      <x:c r="V50" s="20"/>
      <x:c r="W50" s="20"/>
      <x:c r="X50" s="20"/>
      <x:c r="Y50" s="23"/>
      <x:c r="Z50" s="20"/>
      <x:c r="AA50" s="20"/>
      <x:c r="AB50" s="20"/>
      <x:c r="AC50" s="23"/>
    </x:row>
    <x:row r="51">
      <x:c r="A51" s="20"/>
      <x:c r="B51" s="20"/>
      <x:c r="C51" s="20"/>
      <x:c r="D51" s="23"/>
      <x:c r="E51" s="20"/>
      <x:c r="F51" s="20"/>
      <x:c r="G51" s="20"/>
      <x:c r="H51" s="20"/>
      <x:c r="I51" s="20"/>
      <x:c r="J51" s="20"/>
      <x:c r="K51" s="20"/>
      <x:c r="L51" s="20"/>
      <x:c r="M51" s="20"/>
      <x:c r="N51" s="20"/>
      <x:c r="O51" s="20"/>
      <x:c r="P51" s="23"/>
      <x:c r="Q51" s="23"/>
      <x:c r="R51" s="20"/>
      <x:c r="S51" s="20"/>
      <x:c r="T51" s="20"/>
      <x:c r="U51" s="20"/>
      <x:c r="V51" s="20"/>
      <x:c r="W51" s="20"/>
      <x:c r="X51" s="20"/>
      <x:c r="Y51" s="23"/>
      <x:c r="Z51" s="20"/>
      <x:c r="AA51" s="20"/>
      <x:c r="AB51" s="20"/>
      <x:c r="AC51" s="23"/>
    </x:row>
    <x:row r="52">
      <x:c r="A52" s="20"/>
      <x:c r="B52" s="20"/>
      <x:c r="C52" s="20"/>
      <x:c r="D52" s="23"/>
      <x:c r="E52" s="20"/>
      <x:c r="F52" s="20"/>
      <x:c r="G52" s="20"/>
      <x:c r="H52" s="20"/>
      <x:c r="I52" s="20"/>
      <x:c r="J52" s="20"/>
      <x:c r="K52" s="20"/>
      <x:c r="L52" s="20"/>
      <x:c r="M52" s="20"/>
      <x:c r="N52" s="20"/>
      <x:c r="O52" s="20"/>
      <x:c r="P52" s="23"/>
      <x:c r="Q52" s="23"/>
      <x:c r="R52" s="20"/>
      <x:c r="S52" s="20"/>
      <x:c r="T52" s="20"/>
      <x:c r="U52" s="20"/>
      <x:c r="V52" s="20"/>
      <x:c r="W52" s="20"/>
      <x:c r="X52" s="20"/>
      <x:c r="Y52" s="23"/>
      <x:c r="Z52" s="20"/>
      <x:c r="AA52" s="20"/>
      <x:c r="AB52" s="20"/>
      <x:c r="AC52" s="23"/>
    </x:row>
    <x:row r="53">
      <x:c r="A53" s="20"/>
      <x:c r="B53" s="20"/>
      <x:c r="C53" s="20"/>
      <x:c r="D53" s="23"/>
      <x:c r="E53" s="20"/>
      <x:c r="F53" s="20"/>
      <x:c r="G53" s="20"/>
      <x:c r="H53" s="20"/>
      <x:c r="I53" s="20"/>
      <x:c r="J53" s="20"/>
      <x:c r="K53" s="20"/>
      <x:c r="L53" s="20"/>
      <x:c r="M53" s="20"/>
      <x:c r="N53" s="20"/>
      <x:c r="O53" s="20"/>
      <x:c r="P53" s="23"/>
      <x:c r="Q53" s="23"/>
      <x:c r="R53" s="20"/>
      <x:c r="S53" s="20"/>
      <x:c r="T53" s="20"/>
      <x:c r="U53" s="20"/>
      <x:c r="V53" s="20"/>
      <x:c r="W53" s="20"/>
      <x:c r="X53" s="20"/>
      <x:c r="Y53" s="23"/>
      <x:c r="Z53" s="20"/>
      <x:c r="AA53" s="20"/>
      <x:c r="AB53" s="20"/>
      <x:c r="AC53" s="23"/>
    </x:row>
    <x:row r="54">
      <x:c r="A54" s="20"/>
      <x:c r="B54" s="20"/>
      <x:c r="C54" s="20"/>
      <x:c r="D54" s="23"/>
      <x:c r="E54" s="20"/>
      <x:c r="F54" s="20"/>
      <x:c r="G54" s="20"/>
      <x:c r="H54" s="20"/>
      <x:c r="I54" s="20"/>
      <x:c r="J54" s="20"/>
      <x:c r="K54" s="20"/>
      <x:c r="L54" s="20"/>
      <x:c r="M54" s="20"/>
      <x:c r="N54" s="20"/>
      <x:c r="O54" s="20"/>
      <x:c r="P54" s="23"/>
      <x:c r="Q54" s="23"/>
      <x:c r="R54" s="20"/>
      <x:c r="S54" s="20"/>
      <x:c r="T54" s="20"/>
      <x:c r="U54" s="20"/>
      <x:c r="V54" s="20"/>
      <x:c r="W54" s="20"/>
      <x:c r="X54" s="20"/>
      <x:c r="Y54" s="23"/>
      <x:c r="Z54" s="20"/>
      <x:c r="AA54" s="20"/>
      <x:c r="AB54" s="20"/>
      <x:c r="AC54" s="23"/>
    </x:row>
    <x:row r="55">
      <x:c r="A55" s="20"/>
      <x:c r="B55" s="20"/>
      <x:c r="C55" s="20"/>
      <x:c r="D55" s="23"/>
      <x:c r="E55" s="20"/>
      <x:c r="F55" s="20"/>
      <x:c r="G55" s="20"/>
      <x:c r="H55" s="20"/>
      <x:c r="I55" s="20"/>
      <x:c r="J55" s="20"/>
      <x:c r="K55" s="20"/>
      <x:c r="L55" s="20"/>
      <x:c r="M55" s="20"/>
      <x:c r="N55" s="20"/>
      <x:c r="O55" s="20"/>
      <x:c r="P55" s="23"/>
      <x:c r="Q55" s="23"/>
      <x:c r="R55" s="20"/>
      <x:c r="S55" s="20"/>
      <x:c r="T55" s="20"/>
      <x:c r="U55" s="20"/>
      <x:c r="V55" s="20"/>
      <x:c r="W55" s="20"/>
      <x:c r="X55" s="20"/>
      <x:c r="Y55" s="23"/>
      <x:c r="Z55" s="20"/>
      <x:c r="AA55" s="20"/>
      <x:c r="AB55" s="20"/>
      <x:c r="AC55" s="23"/>
    </x:row>
    <x:row r="56">
      <x:c r="A56" s="20"/>
      <x:c r="B56" s="20"/>
      <x:c r="C56" s="20"/>
      <x:c r="D56" s="23"/>
      <x:c r="E56" s="20"/>
      <x:c r="F56" s="20"/>
      <x:c r="G56" s="20"/>
      <x:c r="H56" s="20"/>
      <x:c r="I56" s="20"/>
      <x:c r="J56" s="20"/>
      <x:c r="K56" s="20"/>
      <x:c r="L56" s="20"/>
      <x:c r="M56" s="20"/>
      <x:c r="N56" s="20"/>
      <x:c r="O56" s="20"/>
      <x:c r="P56" s="23"/>
      <x:c r="Q56" s="23"/>
      <x:c r="R56" s="20"/>
      <x:c r="S56" s="20"/>
      <x:c r="T56" s="20"/>
      <x:c r="U56" s="20"/>
      <x:c r="V56" s="20"/>
      <x:c r="W56" s="20"/>
      <x:c r="X56" s="20"/>
      <x:c r="Y56" s="23"/>
      <x:c r="Z56" s="20"/>
      <x:c r="AA56" s="20"/>
      <x:c r="AB56" s="20"/>
      <x:c r="AC56" s="23"/>
    </x:row>
    <x:row r="57">
      <x:c r="A57" s="20"/>
      <x:c r="B57" s="20"/>
      <x:c r="C57" s="20"/>
      <x:c r="D57" s="23"/>
      <x:c r="E57" s="20"/>
      <x:c r="F57" s="20"/>
      <x:c r="G57" s="20"/>
      <x:c r="H57" s="20"/>
      <x:c r="I57" s="20"/>
      <x:c r="J57" s="20"/>
      <x:c r="K57" s="20"/>
      <x:c r="L57" s="20"/>
      <x:c r="M57" s="20"/>
      <x:c r="N57" s="20"/>
      <x:c r="O57" s="20"/>
      <x:c r="P57" s="23"/>
      <x:c r="Q57" s="23"/>
      <x:c r="R57" s="20"/>
      <x:c r="S57" s="20"/>
      <x:c r="T57" s="20"/>
      <x:c r="U57" s="20"/>
      <x:c r="V57" s="20"/>
      <x:c r="W57" s="20"/>
      <x:c r="X57" s="20"/>
      <x:c r="Y57" s="23"/>
      <x:c r="Z57" s="20"/>
      <x:c r="AA57" s="20"/>
      <x:c r="AB57" s="20"/>
      <x:c r="AC57" s="23"/>
    </x:row>
    <x:row r="58">
      <x:c r="A58" s="20"/>
      <x:c r="B58" s="20"/>
      <x:c r="C58" s="20"/>
      <x:c r="D58" s="23"/>
      <x:c r="E58" s="20"/>
      <x:c r="F58" s="20"/>
      <x:c r="G58" s="20"/>
      <x:c r="H58" s="20"/>
      <x:c r="I58" s="20"/>
      <x:c r="J58" s="20"/>
      <x:c r="K58" s="20"/>
      <x:c r="L58" s="20"/>
      <x:c r="M58" s="20"/>
      <x:c r="N58" s="20"/>
      <x:c r="O58" s="20"/>
      <x:c r="P58" s="23"/>
      <x:c r="Q58" s="23"/>
      <x:c r="R58" s="20"/>
      <x:c r="S58" s="20"/>
      <x:c r="T58" s="20"/>
      <x:c r="U58" s="20"/>
      <x:c r="V58" s="20"/>
      <x:c r="W58" s="20"/>
      <x:c r="X58" s="20"/>
      <x:c r="Y58" s="23"/>
      <x:c r="Z58" s="20"/>
      <x:c r="AA58" s="20"/>
      <x:c r="AB58" s="20"/>
      <x:c r="AC58" s="23"/>
    </x:row>
    <x:row r="59">
      <x:c r="A59" s="20"/>
      <x:c r="B59" s="20"/>
      <x:c r="C59" s="20"/>
      <x:c r="D59" s="23"/>
      <x:c r="E59" s="20"/>
      <x:c r="F59" s="20"/>
      <x:c r="G59" s="20"/>
      <x:c r="H59" s="20"/>
      <x:c r="I59" s="20"/>
      <x:c r="J59" s="20"/>
      <x:c r="K59" s="20"/>
      <x:c r="L59" s="20"/>
      <x:c r="M59" s="20"/>
      <x:c r="N59" s="20"/>
      <x:c r="O59" s="20"/>
      <x:c r="P59" s="23"/>
      <x:c r="Q59" s="23"/>
      <x:c r="R59" s="20"/>
      <x:c r="S59" s="20"/>
      <x:c r="T59" s="20"/>
      <x:c r="U59" s="20"/>
      <x:c r="V59" s="20"/>
      <x:c r="W59" s="20"/>
      <x:c r="X59" s="20"/>
      <x:c r="Y59" s="23"/>
      <x:c r="Z59" s="20"/>
      <x:c r="AA59" s="20"/>
      <x:c r="AB59" s="20"/>
      <x:c r="AC59" s="23"/>
    </x:row>
    <x:row r="60">
      <x:c r="A60" s="20"/>
      <x:c r="B60" s="20"/>
      <x:c r="C60" s="20"/>
      <x:c r="D60" s="23"/>
      <x:c r="E60" s="20"/>
      <x:c r="F60" s="20"/>
      <x:c r="G60" s="20"/>
      <x:c r="H60" s="20"/>
      <x:c r="I60" s="20"/>
      <x:c r="J60" s="20"/>
      <x:c r="K60" s="20"/>
      <x:c r="L60" s="20"/>
      <x:c r="M60" s="20"/>
      <x:c r="N60" s="20"/>
      <x:c r="O60" s="20"/>
      <x:c r="P60" s="23"/>
      <x:c r="Q60" s="23"/>
      <x:c r="R60" s="20"/>
      <x:c r="S60" s="20"/>
      <x:c r="T60" s="20"/>
      <x:c r="U60" s="20"/>
      <x:c r="V60" s="20"/>
      <x:c r="W60" s="20"/>
      <x:c r="X60" s="20"/>
      <x:c r="Y60" s="23"/>
      <x:c r="Z60" s="20"/>
      <x:c r="AA60" s="20"/>
      <x:c r="AB60" s="20"/>
      <x:c r="AC60" s="23"/>
    </x:row>
    <x:row r="61">
      <x:c r="A61" s="20"/>
      <x:c r="B61" s="20"/>
      <x:c r="C61" s="20"/>
      <x:c r="D61" s="23"/>
      <x:c r="E61" s="20"/>
      <x:c r="F61" s="20"/>
      <x:c r="G61" s="20"/>
      <x:c r="H61" s="20"/>
      <x:c r="I61" s="20"/>
      <x:c r="J61" s="20"/>
      <x:c r="K61" s="20"/>
      <x:c r="L61" s="20"/>
      <x:c r="M61" s="20"/>
      <x:c r="N61" s="20"/>
      <x:c r="O61" s="20"/>
      <x:c r="P61" s="23"/>
      <x:c r="Q61" s="23"/>
      <x:c r="R61" s="20"/>
      <x:c r="S61" s="20"/>
      <x:c r="T61" s="20"/>
      <x:c r="U61" s="20"/>
      <x:c r="V61" s="20"/>
      <x:c r="W61" s="20"/>
      <x:c r="X61" s="20"/>
      <x:c r="Y61" s="23"/>
      <x:c r="Z61" s="20"/>
      <x:c r="AA61" s="20"/>
      <x:c r="AB61" s="20"/>
      <x:c r="AC61" s="23"/>
    </x:row>
    <x:row r="62">
      <x:c r="A62" s="20"/>
      <x:c r="B62" s="20"/>
      <x:c r="C62" s="20"/>
      <x:c r="D62" s="23"/>
      <x:c r="E62" s="20"/>
      <x:c r="F62" s="20"/>
      <x:c r="G62" s="20"/>
      <x:c r="H62" s="20"/>
      <x:c r="I62" s="20"/>
      <x:c r="J62" s="20"/>
      <x:c r="K62" s="20"/>
      <x:c r="L62" s="20"/>
      <x:c r="M62" s="20"/>
      <x:c r="N62" s="20"/>
      <x:c r="O62" s="20"/>
      <x:c r="P62" s="23"/>
      <x:c r="Q62" s="23"/>
      <x:c r="R62" s="20"/>
      <x:c r="S62" s="20"/>
      <x:c r="T62" s="20"/>
      <x:c r="U62" s="20"/>
      <x:c r="V62" s="20"/>
      <x:c r="W62" s="20"/>
      <x:c r="X62" s="20"/>
      <x:c r="Y62" s="23"/>
      <x:c r="Z62" s="20"/>
      <x:c r="AA62" s="20"/>
      <x:c r="AB62" s="20"/>
      <x:c r="AC62" s="23"/>
    </x:row>
    <x:row r="63">
      <x:c r="A63" s="20"/>
      <x:c r="B63" s="20"/>
      <x:c r="C63" s="20"/>
      <x:c r="D63" s="23"/>
      <x:c r="E63" s="20"/>
      <x:c r="F63" s="20"/>
      <x:c r="G63" s="20"/>
      <x:c r="H63" s="20"/>
      <x:c r="I63" s="20"/>
      <x:c r="J63" s="20"/>
      <x:c r="K63" s="20"/>
      <x:c r="L63" s="20"/>
      <x:c r="M63" s="20"/>
      <x:c r="N63" s="20"/>
      <x:c r="O63" s="20"/>
      <x:c r="P63" s="23"/>
      <x:c r="Q63" s="23"/>
      <x:c r="R63" s="20"/>
      <x:c r="S63" s="20"/>
      <x:c r="T63" s="20"/>
      <x:c r="U63" s="20"/>
      <x:c r="V63" s="20"/>
      <x:c r="W63" s="20"/>
      <x:c r="X63" s="20"/>
      <x:c r="Y63" s="23"/>
      <x:c r="Z63" s="20"/>
      <x:c r="AA63" s="20"/>
      <x:c r="AB63" s="20"/>
      <x:c r="AC63" s="23"/>
    </x:row>
    <x:row r="64">
      <x:c r="A64" s="20"/>
      <x:c r="B64" s="20"/>
      <x:c r="C64" s="20"/>
      <x:c r="D64" s="23"/>
      <x:c r="E64" s="20"/>
      <x:c r="F64" s="20"/>
      <x:c r="G64" s="20"/>
      <x:c r="H64" s="20"/>
      <x:c r="I64" s="20"/>
      <x:c r="J64" s="20"/>
      <x:c r="K64" s="20"/>
      <x:c r="L64" s="20"/>
      <x:c r="M64" s="20"/>
      <x:c r="N64" s="20"/>
      <x:c r="O64" s="20"/>
      <x:c r="P64" s="23"/>
      <x:c r="Q64" s="23"/>
      <x:c r="R64" s="20"/>
      <x:c r="S64" s="20"/>
      <x:c r="T64" s="20"/>
      <x:c r="U64" s="20"/>
      <x:c r="V64" s="20"/>
      <x:c r="W64" s="20"/>
      <x:c r="X64" s="20"/>
      <x:c r="Y64" s="23"/>
      <x:c r="Z64" s="20"/>
      <x:c r="AA64" s="20"/>
      <x:c r="AB64" s="20"/>
      <x:c r="AC64" s="23"/>
    </x:row>
    <x:row r="65">
      <x:c r="A65" s="20"/>
      <x:c r="B65" s="20"/>
      <x:c r="C65" s="20"/>
      <x:c r="D65" s="23"/>
      <x:c r="E65" s="20"/>
      <x:c r="F65" s="20"/>
      <x:c r="G65" s="20"/>
      <x:c r="H65" s="20"/>
      <x:c r="I65" s="20"/>
      <x:c r="J65" s="20"/>
      <x:c r="K65" s="20"/>
      <x:c r="L65" s="20"/>
      <x:c r="M65" s="20"/>
      <x:c r="N65" s="20"/>
      <x:c r="O65" s="20"/>
      <x:c r="P65" s="23"/>
      <x:c r="Q65" s="23"/>
      <x:c r="R65" s="20"/>
      <x:c r="S65" s="20"/>
      <x:c r="T65" s="20"/>
      <x:c r="U65" s="20"/>
      <x:c r="V65" s="20"/>
      <x:c r="W65" s="20"/>
      <x:c r="X65" s="20"/>
      <x:c r="Y65" s="23"/>
      <x:c r="Z65" s="20"/>
      <x:c r="AA65" s="20"/>
      <x:c r="AB65" s="20"/>
      <x:c r="AC65" s="23"/>
    </x:row>
    <x:row r="66">
      <x:c r="A66" s="20"/>
      <x:c r="B66" s="20"/>
      <x:c r="C66" s="20"/>
      <x:c r="D66" s="23"/>
      <x:c r="E66" s="20"/>
      <x:c r="F66" s="20"/>
      <x:c r="G66" s="20"/>
      <x:c r="H66" s="20"/>
      <x:c r="I66" s="20"/>
      <x:c r="J66" s="20"/>
      <x:c r="K66" s="20"/>
      <x:c r="L66" s="20"/>
      <x:c r="M66" s="20"/>
      <x:c r="N66" s="20"/>
      <x:c r="O66" s="20"/>
      <x:c r="P66" s="23"/>
      <x:c r="Q66" s="23"/>
      <x:c r="R66" s="20"/>
      <x:c r="S66" s="20"/>
      <x:c r="T66" s="20"/>
      <x:c r="U66" s="20"/>
      <x:c r="V66" s="20"/>
      <x:c r="W66" s="20"/>
      <x:c r="X66" s="20"/>
      <x:c r="Y66" s="23"/>
      <x:c r="Z66" s="20"/>
      <x:c r="AA66" s="20"/>
      <x:c r="AB66" s="20"/>
      <x:c r="AC66" s="23"/>
    </x:row>
    <x:row r="67">
      <x:c r="A67" s="20"/>
      <x:c r="B67" s="20"/>
      <x:c r="C67" s="20"/>
      <x:c r="D67" s="23"/>
      <x:c r="E67" s="20"/>
      <x:c r="F67" s="20"/>
      <x:c r="G67" s="20"/>
      <x:c r="H67" s="20"/>
      <x:c r="I67" s="20"/>
      <x:c r="J67" s="20"/>
      <x:c r="K67" s="20"/>
      <x:c r="L67" s="20"/>
      <x:c r="M67" s="20"/>
      <x:c r="N67" s="20"/>
      <x:c r="O67" s="20"/>
      <x:c r="P67" s="23"/>
      <x:c r="Q67" s="23"/>
      <x:c r="R67" s="20"/>
      <x:c r="S67" s="20"/>
      <x:c r="T67" s="20"/>
      <x:c r="U67" s="20"/>
      <x:c r="V67" s="20"/>
      <x:c r="W67" s="20"/>
      <x:c r="X67" s="20"/>
      <x:c r="Y67" s="23"/>
      <x:c r="Z67" s="20"/>
      <x:c r="AA67" s="20"/>
      <x:c r="AB67" s="20"/>
      <x:c r="AC67" s="23"/>
    </x:row>
    <x:row r="68">
      <x:c r="A68" s="20"/>
      <x:c r="B68" s="20"/>
      <x:c r="C68" s="20"/>
      <x:c r="D68" s="23"/>
      <x:c r="E68" s="20"/>
      <x:c r="F68" s="20"/>
      <x:c r="G68" s="20"/>
      <x:c r="H68" s="20"/>
      <x:c r="I68" s="20"/>
      <x:c r="J68" s="20"/>
      <x:c r="K68" s="20"/>
      <x:c r="L68" s="20"/>
      <x:c r="M68" s="20"/>
      <x:c r="N68" s="20"/>
      <x:c r="O68" s="20"/>
      <x:c r="P68" s="23"/>
      <x:c r="Q68" s="23"/>
      <x:c r="R68" s="20"/>
      <x:c r="S68" s="20"/>
      <x:c r="T68" s="20"/>
      <x:c r="U68" s="20"/>
      <x:c r="V68" s="20"/>
      <x:c r="W68" s="20"/>
      <x:c r="X68" s="20"/>
      <x:c r="Y68" s="23"/>
      <x:c r="Z68" s="20"/>
      <x:c r="AA68" s="20"/>
      <x:c r="AB68" s="20"/>
      <x:c r="AC68" s="23"/>
    </x:row>
    <x:row r="69">
      <x:c r="A69" s="20"/>
      <x:c r="B69" s="20"/>
      <x:c r="C69" s="20"/>
      <x:c r="D69" s="23"/>
      <x:c r="E69" s="20"/>
      <x:c r="F69" s="20"/>
      <x:c r="G69" s="20"/>
      <x:c r="H69" s="20"/>
      <x:c r="I69" s="20"/>
      <x:c r="J69" s="20"/>
      <x:c r="K69" s="20"/>
      <x:c r="L69" s="20"/>
      <x:c r="M69" s="20"/>
      <x:c r="N69" s="20"/>
      <x:c r="O69" s="20"/>
      <x:c r="P69" s="23"/>
      <x:c r="Q69" s="23"/>
      <x:c r="R69" s="20"/>
      <x:c r="S69" s="20"/>
      <x:c r="T69" s="20"/>
      <x:c r="U69" s="20"/>
      <x:c r="V69" s="20"/>
      <x:c r="W69" s="20"/>
      <x:c r="X69" s="20"/>
      <x:c r="Y69" s="23"/>
      <x:c r="Z69" s="20"/>
      <x:c r="AA69" s="20"/>
      <x:c r="AB69" s="20"/>
      <x:c r="AC69" s="23"/>
    </x:row>
    <x:row r="70">
      <x:c r="A70" s="20"/>
      <x:c r="B70" s="20"/>
      <x:c r="C70" s="20"/>
      <x:c r="D70" s="23"/>
      <x:c r="E70" s="20"/>
      <x:c r="F70" s="20"/>
      <x:c r="G70" s="20"/>
      <x:c r="H70" s="20"/>
      <x:c r="I70" s="20"/>
      <x:c r="J70" s="20"/>
      <x:c r="K70" s="20"/>
      <x:c r="L70" s="20"/>
      <x:c r="M70" s="20"/>
      <x:c r="N70" s="20"/>
      <x:c r="O70" s="20"/>
      <x:c r="P70" s="23"/>
      <x:c r="Q70" s="23"/>
      <x:c r="R70" s="20"/>
      <x:c r="S70" s="20"/>
      <x:c r="T70" s="20"/>
      <x:c r="U70" s="20"/>
      <x:c r="V70" s="20"/>
      <x:c r="W70" s="20"/>
      <x:c r="X70" s="20"/>
      <x:c r="Y70" s="23"/>
      <x:c r="Z70" s="20"/>
      <x:c r="AA70" s="20"/>
      <x:c r="AB70" s="20"/>
      <x:c r="AC70" s="23"/>
    </x:row>
    <x:row r="71">
      <x:c r="A71" s="20"/>
      <x:c r="B71" s="20"/>
      <x:c r="C71" s="20"/>
      <x:c r="D71" s="23"/>
      <x:c r="E71" s="20"/>
      <x:c r="F71" s="20"/>
      <x:c r="G71" s="20"/>
      <x:c r="H71" s="20"/>
      <x:c r="I71" s="20"/>
      <x:c r="J71" s="20"/>
      <x:c r="K71" s="20"/>
      <x:c r="L71" s="20"/>
      <x:c r="M71" s="20"/>
      <x:c r="N71" s="20"/>
      <x:c r="O71" s="20"/>
      <x:c r="P71" s="23"/>
      <x:c r="Q71" s="23"/>
      <x:c r="R71" s="20"/>
      <x:c r="S71" s="20"/>
      <x:c r="T71" s="20"/>
      <x:c r="U71" s="20"/>
      <x:c r="V71" s="20"/>
      <x:c r="W71" s="20"/>
      <x:c r="X71" s="20"/>
      <x:c r="Y71" s="23"/>
      <x:c r="Z71" s="20"/>
      <x:c r="AA71" s="20"/>
      <x:c r="AB71" s="20"/>
      <x:c r="AC71" s="23"/>
    </x:row>
    <x:row r="72">
      <x:c r="A72" s="20"/>
      <x:c r="B72" s="20"/>
      <x:c r="C72" s="20"/>
      <x:c r="D72" s="23"/>
      <x:c r="E72" s="20"/>
      <x:c r="F72" s="20"/>
      <x:c r="G72" s="20"/>
      <x:c r="H72" s="20"/>
      <x:c r="I72" s="20"/>
      <x:c r="J72" s="20"/>
      <x:c r="K72" s="20"/>
      <x:c r="L72" s="20"/>
      <x:c r="M72" s="20"/>
      <x:c r="N72" s="20"/>
      <x:c r="O72" s="20"/>
      <x:c r="P72" s="23"/>
      <x:c r="Q72" s="23"/>
      <x:c r="R72" s="20"/>
      <x:c r="S72" s="20"/>
      <x:c r="T72" s="20"/>
      <x:c r="U72" s="20"/>
      <x:c r="V72" s="20"/>
      <x:c r="W72" s="20"/>
      <x:c r="X72" s="20"/>
      <x:c r="Y72" s="23"/>
      <x:c r="Z72" s="20"/>
      <x:c r="AA72" s="20"/>
      <x:c r="AB72" s="20"/>
      <x:c r="AC72" s="23"/>
    </x:row>
    <x:row r="73">
      <x:c r="A73" s="20"/>
      <x:c r="B73" s="20"/>
      <x:c r="C73" s="20"/>
      <x:c r="D73" s="23"/>
      <x:c r="E73" s="20"/>
      <x:c r="F73" s="20"/>
      <x:c r="G73" s="20"/>
      <x:c r="H73" s="20"/>
      <x:c r="I73" s="20"/>
      <x:c r="J73" s="20"/>
      <x:c r="K73" s="20"/>
      <x:c r="L73" s="20"/>
      <x:c r="M73" s="20"/>
      <x:c r="N73" s="20"/>
      <x:c r="O73" s="20"/>
      <x:c r="P73" s="23"/>
      <x:c r="Q73" s="23"/>
      <x:c r="R73" s="20"/>
      <x:c r="S73" s="20"/>
      <x:c r="T73" s="20"/>
      <x:c r="U73" s="20"/>
      <x:c r="V73" s="20"/>
      <x:c r="W73" s="20"/>
      <x:c r="X73" s="20"/>
      <x:c r="Y73" s="23"/>
      <x:c r="Z73" s="20"/>
      <x:c r="AA73" s="20"/>
      <x:c r="AB73" s="20"/>
      <x:c r="AC73" s="23"/>
    </x:row>
    <x:row r="74">
      <x:c r="A74" s="20"/>
      <x:c r="B74" s="20"/>
      <x:c r="C74" s="20"/>
      <x:c r="D74" s="23"/>
      <x:c r="E74" s="20"/>
      <x:c r="F74" s="20"/>
      <x:c r="G74" s="20"/>
      <x:c r="H74" s="20"/>
      <x:c r="I74" s="20"/>
      <x:c r="J74" s="20"/>
      <x:c r="K74" s="20"/>
      <x:c r="L74" s="20"/>
      <x:c r="M74" s="20"/>
      <x:c r="N74" s="20"/>
      <x:c r="O74" s="20"/>
      <x:c r="P74" s="23"/>
      <x:c r="Q74" s="23"/>
      <x:c r="R74" s="20"/>
      <x:c r="S74" s="20"/>
      <x:c r="T74" s="20"/>
      <x:c r="U74" s="20"/>
      <x:c r="V74" s="20"/>
      <x:c r="W74" s="20"/>
      <x:c r="X74" s="20"/>
      <x:c r="Y74" s="23"/>
      <x:c r="Z74" s="20"/>
      <x:c r="AA74" s="20"/>
      <x:c r="AB74" s="20"/>
      <x:c r="AC74" s="23"/>
    </x:row>
    <x:row r="75">
      <x:c r="A75" s="20"/>
      <x:c r="B75" s="20"/>
      <x:c r="C75" s="20"/>
      <x:c r="D75" s="23"/>
      <x:c r="E75" s="20"/>
      <x:c r="F75" s="20"/>
      <x:c r="G75" s="20"/>
      <x:c r="H75" s="20"/>
      <x:c r="I75" s="20"/>
      <x:c r="J75" s="20"/>
      <x:c r="K75" s="20"/>
      <x:c r="L75" s="20"/>
      <x:c r="M75" s="20"/>
      <x:c r="N75" s="20"/>
      <x:c r="O75" s="20"/>
      <x:c r="P75" s="23"/>
      <x:c r="Q75" s="23"/>
      <x:c r="R75" s="20"/>
      <x:c r="S75" s="20"/>
      <x:c r="T75" s="20"/>
      <x:c r="U75" s="20"/>
      <x:c r="V75" s="20"/>
      <x:c r="W75" s="20"/>
      <x:c r="X75" s="20"/>
      <x:c r="Y75" s="23"/>
      <x:c r="Z75" s="20"/>
      <x:c r="AA75" s="20"/>
      <x:c r="AB75" s="20"/>
      <x:c r="AC75" s="23"/>
    </x:row>
    <x:row r="76">
      <x:c r="A76" s="20"/>
      <x:c r="B76" s="20"/>
      <x:c r="C76" s="20"/>
      <x:c r="D76" s="23"/>
      <x:c r="E76" s="20"/>
      <x:c r="F76" s="20"/>
      <x:c r="G76" s="20"/>
      <x:c r="H76" s="20"/>
      <x:c r="I76" s="20"/>
      <x:c r="J76" s="20"/>
      <x:c r="K76" s="20"/>
      <x:c r="L76" s="20"/>
      <x:c r="M76" s="20"/>
      <x:c r="N76" s="20"/>
      <x:c r="O76" s="20"/>
      <x:c r="P76" s="23"/>
      <x:c r="Q76" s="23"/>
      <x:c r="R76" s="20"/>
      <x:c r="S76" s="20"/>
      <x:c r="T76" s="20"/>
      <x:c r="U76" s="20"/>
      <x:c r="V76" s="20"/>
      <x:c r="W76" s="20"/>
      <x:c r="X76" s="20"/>
      <x:c r="Y76" s="23"/>
      <x:c r="Z76" s="20"/>
      <x:c r="AA76" s="20"/>
      <x:c r="AB76" s="20"/>
      <x:c r="AC76" s="23"/>
    </x:row>
    <x:row r="77">
      <x:c r="A77" s="20"/>
      <x:c r="B77" s="20"/>
      <x:c r="C77" s="20"/>
      <x:c r="D77" s="23"/>
      <x:c r="E77" s="20"/>
      <x:c r="F77" s="20"/>
      <x:c r="G77" s="20"/>
      <x:c r="H77" s="20"/>
      <x:c r="I77" s="20"/>
      <x:c r="J77" s="20"/>
      <x:c r="K77" s="20"/>
      <x:c r="L77" s="20"/>
      <x:c r="M77" s="20"/>
      <x:c r="N77" s="20"/>
      <x:c r="O77" s="20"/>
      <x:c r="P77" s="23"/>
      <x:c r="Q77" s="23"/>
      <x:c r="R77" s="20"/>
      <x:c r="S77" s="20"/>
      <x:c r="T77" s="20"/>
      <x:c r="U77" s="20"/>
      <x:c r="V77" s="20"/>
      <x:c r="W77" s="20"/>
      <x:c r="X77" s="20"/>
      <x:c r="Y77" s="23"/>
      <x:c r="Z77" s="20"/>
      <x:c r="AA77" s="20"/>
      <x:c r="AB77" s="20"/>
      <x:c r="AC77" s="23"/>
    </x:row>
    <x:row r="78">
      <x:c r="A78" s="20"/>
      <x:c r="B78" s="20"/>
      <x:c r="C78" s="20"/>
      <x:c r="D78" s="23"/>
      <x:c r="E78" s="20"/>
      <x:c r="F78" s="20"/>
      <x:c r="G78" s="20"/>
      <x:c r="H78" s="20"/>
      <x:c r="I78" s="20"/>
      <x:c r="J78" s="20"/>
      <x:c r="K78" s="20"/>
      <x:c r="L78" s="20"/>
      <x:c r="M78" s="20"/>
      <x:c r="N78" s="20"/>
      <x:c r="O78" s="20"/>
      <x:c r="P78" s="23"/>
      <x:c r="Q78" s="23"/>
      <x:c r="R78" s="20"/>
      <x:c r="S78" s="20"/>
      <x:c r="T78" s="20"/>
      <x:c r="U78" s="20"/>
      <x:c r="V78" s="20"/>
      <x:c r="W78" s="20"/>
      <x:c r="X78" s="20"/>
      <x:c r="Y78" s="23"/>
      <x:c r="Z78" s="20"/>
      <x:c r="AA78" s="20"/>
      <x:c r="AB78" s="20"/>
      <x:c r="AC78" s="23"/>
    </x:row>
    <x:row r="79">
      <x:c r="A79" s="20"/>
      <x:c r="B79" s="20"/>
      <x:c r="C79" s="20"/>
      <x:c r="D79" s="23"/>
      <x:c r="E79" s="20"/>
      <x:c r="F79" s="20"/>
      <x:c r="G79" s="20"/>
      <x:c r="H79" s="20"/>
      <x:c r="I79" s="20"/>
      <x:c r="J79" s="20"/>
      <x:c r="K79" s="20"/>
      <x:c r="L79" s="20"/>
      <x:c r="M79" s="20"/>
      <x:c r="N79" s="20"/>
      <x:c r="O79" s="20"/>
      <x:c r="P79" s="23"/>
      <x:c r="Q79" s="23"/>
      <x:c r="R79" s="20"/>
      <x:c r="S79" s="20"/>
      <x:c r="T79" s="20"/>
      <x:c r="U79" s="20"/>
      <x:c r="V79" s="20"/>
      <x:c r="W79" s="20"/>
      <x:c r="X79" s="20"/>
      <x:c r="Y79" s="23"/>
      <x:c r="Z79" s="20"/>
      <x:c r="AA79" s="20"/>
      <x:c r="AB79" s="20"/>
      <x:c r="AC79" s="23"/>
    </x:row>
    <x:row r="80">
      <x:c r="A80" s="20"/>
      <x:c r="B80" s="20"/>
      <x:c r="C80" s="20"/>
      <x:c r="D80" s="23"/>
      <x:c r="E80" s="20"/>
      <x:c r="F80" s="20"/>
      <x:c r="G80" s="20"/>
      <x:c r="H80" s="20"/>
      <x:c r="I80" s="20"/>
      <x:c r="J80" s="20"/>
      <x:c r="K80" s="20"/>
      <x:c r="L80" s="20"/>
      <x:c r="M80" s="20"/>
      <x:c r="N80" s="20"/>
      <x:c r="O80" s="20"/>
      <x:c r="P80" s="23"/>
      <x:c r="Q80" s="23"/>
      <x:c r="R80" s="20"/>
      <x:c r="S80" s="20"/>
      <x:c r="T80" s="20"/>
      <x:c r="U80" s="20"/>
      <x:c r="V80" s="20"/>
      <x:c r="W80" s="20"/>
      <x:c r="X80" s="20"/>
      <x:c r="Y80" s="23"/>
      <x:c r="Z80" s="20"/>
      <x:c r="AA80" s="20"/>
      <x:c r="AB80" s="20"/>
      <x:c r="AC80" s="23"/>
    </x:row>
    <x:row r="81">
      <x:c r="A81" s="20"/>
      <x:c r="B81" s="20"/>
      <x:c r="C81" s="20"/>
      <x:c r="D81" s="23"/>
      <x:c r="E81" s="20"/>
      <x:c r="F81" s="20"/>
      <x:c r="G81" s="20"/>
      <x:c r="H81" s="20"/>
      <x:c r="I81" s="20"/>
      <x:c r="J81" s="20"/>
      <x:c r="K81" s="20"/>
      <x:c r="L81" s="20"/>
      <x:c r="M81" s="20"/>
      <x:c r="N81" s="20"/>
      <x:c r="O81" s="20"/>
      <x:c r="P81" s="23"/>
      <x:c r="Q81" s="23"/>
      <x:c r="R81" s="20"/>
      <x:c r="S81" s="20"/>
      <x:c r="T81" s="20"/>
      <x:c r="U81" s="20"/>
      <x:c r="V81" s="20"/>
      <x:c r="W81" s="20"/>
      <x:c r="X81" s="20"/>
      <x:c r="Y81" s="23"/>
      <x:c r="Z81" s="20"/>
      <x:c r="AA81" s="20"/>
      <x:c r="AB81" s="20"/>
      <x:c r="AC81" s="23"/>
    </x:row>
    <x:row r="82">
      <x:c r="A82" s="20"/>
      <x:c r="B82" s="20"/>
      <x:c r="C82" s="20"/>
      <x:c r="D82" s="23"/>
      <x:c r="E82" s="20"/>
      <x:c r="F82" s="20"/>
      <x:c r="G82" s="20"/>
      <x:c r="H82" s="20"/>
      <x:c r="I82" s="20"/>
      <x:c r="J82" s="20"/>
      <x:c r="K82" s="20"/>
      <x:c r="L82" s="20"/>
      <x:c r="M82" s="20"/>
      <x:c r="N82" s="20"/>
      <x:c r="O82" s="20"/>
      <x:c r="P82" s="23"/>
      <x:c r="Q82" s="23"/>
      <x:c r="R82" s="20"/>
      <x:c r="S82" s="20"/>
      <x:c r="T82" s="20"/>
      <x:c r="U82" s="20"/>
      <x:c r="V82" s="20"/>
      <x:c r="W82" s="20"/>
      <x:c r="X82" s="20"/>
      <x:c r="Y82" s="23"/>
      <x:c r="Z82" s="20"/>
      <x:c r="AA82" s="20"/>
      <x:c r="AB82" s="20"/>
      <x:c r="AC82" s="23"/>
    </x:row>
    <x:row r="83">
      <x:c r="A83" s="20"/>
      <x:c r="B83" s="20"/>
      <x:c r="C83" s="20"/>
      <x:c r="D83" s="23"/>
      <x:c r="E83" s="20"/>
      <x:c r="F83" s="20"/>
      <x:c r="G83" s="20"/>
      <x:c r="H83" s="20"/>
      <x:c r="I83" s="20"/>
      <x:c r="J83" s="20"/>
      <x:c r="K83" s="20"/>
      <x:c r="L83" s="20"/>
      <x:c r="M83" s="20"/>
      <x:c r="N83" s="20"/>
      <x:c r="O83" s="20"/>
      <x:c r="P83" s="23"/>
      <x:c r="Q83" s="23"/>
      <x:c r="R83" s="20"/>
      <x:c r="S83" s="20"/>
      <x:c r="T83" s="20"/>
      <x:c r="U83" s="20"/>
      <x:c r="V83" s="20"/>
      <x:c r="W83" s="20"/>
      <x:c r="X83" s="20"/>
      <x:c r="Y83" s="23"/>
      <x:c r="Z83" s="20"/>
      <x:c r="AA83" s="20"/>
      <x:c r="AB83" s="20"/>
      <x:c r="AC83" s="23"/>
    </x:row>
    <x:row r="84">
      <x:c r="A84" s="20"/>
      <x:c r="B84" s="20"/>
      <x:c r="C84" s="20"/>
      <x:c r="D84" s="23"/>
      <x:c r="E84" s="20"/>
      <x:c r="F84" s="20"/>
      <x:c r="G84" s="20"/>
      <x:c r="H84" s="20"/>
      <x:c r="I84" s="20"/>
      <x:c r="J84" s="20"/>
      <x:c r="K84" s="20"/>
      <x:c r="L84" s="20"/>
      <x:c r="M84" s="20"/>
      <x:c r="N84" s="20"/>
      <x:c r="O84" s="20"/>
      <x:c r="P84" s="23"/>
      <x:c r="Q84" s="23"/>
      <x:c r="R84" s="20"/>
      <x:c r="S84" s="20"/>
      <x:c r="T84" s="20"/>
      <x:c r="U84" s="20"/>
      <x:c r="V84" s="20"/>
      <x:c r="W84" s="20"/>
      <x:c r="X84" s="20"/>
      <x:c r="Y84" s="23"/>
      <x:c r="Z84" s="20"/>
      <x:c r="AA84" s="20"/>
      <x:c r="AB84" s="20"/>
      <x:c r="AC84" s="23"/>
    </x:row>
    <x:row r="85">
      <x:c r="A85" s="20"/>
      <x:c r="B85" s="20"/>
      <x:c r="C85" s="20"/>
      <x:c r="D85" s="23"/>
      <x:c r="E85" s="20"/>
      <x:c r="F85" s="20"/>
      <x:c r="G85" s="20"/>
      <x:c r="H85" s="20"/>
      <x:c r="I85" s="20"/>
      <x:c r="J85" s="20"/>
      <x:c r="K85" s="20"/>
      <x:c r="L85" s="20"/>
      <x:c r="M85" s="20"/>
      <x:c r="N85" s="20"/>
      <x:c r="O85" s="20"/>
      <x:c r="P85" s="23"/>
      <x:c r="Q85" s="23"/>
      <x:c r="R85" s="20"/>
      <x:c r="S85" s="20"/>
      <x:c r="T85" s="20"/>
      <x:c r="U85" s="20"/>
      <x:c r="V85" s="20"/>
      <x:c r="W85" s="20"/>
      <x:c r="X85" s="20"/>
      <x:c r="Y85" s="23"/>
      <x:c r="Z85" s="20"/>
      <x:c r="AA85" s="20"/>
      <x:c r="AB85" s="20"/>
      <x:c r="AC85" s="23"/>
    </x:row>
    <x:row r="86">
      <x:c r="A86" s="20"/>
      <x:c r="B86" s="20"/>
      <x:c r="C86" s="20"/>
      <x:c r="D86" s="23"/>
      <x:c r="E86" s="20"/>
      <x:c r="F86" s="20"/>
      <x:c r="G86" s="20"/>
      <x:c r="H86" s="20"/>
      <x:c r="I86" s="20"/>
      <x:c r="J86" s="20"/>
      <x:c r="K86" s="20"/>
      <x:c r="L86" s="20"/>
      <x:c r="M86" s="20"/>
      <x:c r="N86" s="20"/>
      <x:c r="O86" s="20"/>
      <x:c r="P86" s="23"/>
      <x:c r="Q86" s="23"/>
      <x:c r="R86" s="20"/>
      <x:c r="S86" s="20"/>
      <x:c r="T86" s="20"/>
      <x:c r="U86" s="20"/>
      <x:c r="V86" s="20"/>
      <x:c r="W86" s="20"/>
      <x:c r="X86" s="20"/>
      <x:c r="Y86" s="23"/>
      <x:c r="Z86" s="20"/>
      <x:c r="AA86" s="20"/>
      <x:c r="AB86" s="20"/>
      <x:c r="AC86" s="23"/>
    </x:row>
    <x:row r="87">
      <x:c r="A87" s="20"/>
      <x:c r="B87" s="20"/>
      <x:c r="C87" s="20"/>
      <x:c r="D87" s="23"/>
      <x:c r="E87" s="20"/>
      <x:c r="F87" s="20"/>
      <x:c r="G87" s="20"/>
      <x:c r="H87" s="20"/>
      <x:c r="I87" s="20"/>
      <x:c r="J87" s="20"/>
      <x:c r="K87" s="20"/>
      <x:c r="L87" s="20"/>
      <x:c r="M87" s="20"/>
      <x:c r="N87" s="20"/>
      <x:c r="O87" s="20"/>
      <x:c r="P87" s="23"/>
      <x:c r="Q87" s="23"/>
      <x:c r="R87" s="20"/>
      <x:c r="S87" s="20"/>
      <x:c r="T87" s="20"/>
      <x:c r="U87" s="20"/>
      <x:c r="V87" s="20"/>
      <x:c r="W87" s="20"/>
      <x:c r="X87" s="20"/>
      <x:c r="Y87" s="23"/>
      <x:c r="Z87" s="20"/>
      <x:c r="AA87" s="20"/>
      <x:c r="AB87" s="20"/>
      <x:c r="AC87" s="23"/>
    </x:row>
    <x:row r="88">
      <x:c r="A88" s="20"/>
      <x:c r="B88" s="20"/>
      <x:c r="C88" s="20"/>
      <x:c r="D88" s="23"/>
      <x:c r="E88" s="20"/>
      <x:c r="F88" s="20"/>
      <x:c r="G88" s="20"/>
      <x:c r="H88" s="20"/>
      <x:c r="I88" s="20"/>
      <x:c r="J88" s="20"/>
      <x:c r="K88" s="20"/>
      <x:c r="L88" s="20"/>
      <x:c r="M88" s="20"/>
      <x:c r="N88" s="20"/>
      <x:c r="O88" s="20"/>
      <x:c r="P88" s="23"/>
      <x:c r="Q88" s="23"/>
      <x:c r="R88" s="20"/>
      <x:c r="S88" s="20"/>
      <x:c r="T88" s="20"/>
      <x:c r="U88" s="20"/>
      <x:c r="V88" s="20"/>
      <x:c r="W88" s="20"/>
      <x:c r="X88" s="20"/>
      <x:c r="Y88" s="23"/>
      <x:c r="Z88" s="20"/>
      <x:c r="AA88" s="20"/>
      <x:c r="AB88" s="20"/>
      <x:c r="AC88" s="23"/>
    </x:row>
    <x:row r="89">
      <x:c r="A89" s="20"/>
      <x:c r="B89" s="20"/>
      <x:c r="C89" s="20"/>
      <x:c r="D89" s="23"/>
      <x:c r="E89" s="20"/>
      <x:c r="F89" s="20"/>
      <x:c r="G89" s="20"/>
      <x:c r="H89" s="20"/>
      <x:c r="I89" s="20"/>
      <x:c r="J89" s="20"/>
      <x:c r="K89" s="20"/>
      <x:c r="L89" s="20"/>
      <x:c r="M89" s="20"/>
      <x:c r="N89" s="20"/>
      <x:c r="O89" s="20"/>
      <x:c r="P89" s="23"/>
      <x:c r="Q89" s="23"/>
      <x:c r="R89" s="20"/>
      <x:c r="S89" s="20"/>
      <x:c r="T89" s="20"/>
      <x:c r="U89" s="20"/>
      <x:c r="V89" s="20"/>
      <x:c r="W89" s="20"/>
      <x:c r="X89" s="20"/>
      <x:c r="Y89" s="23"/>
      <x:c r="Z89" s="20"/>
      <x:c r="AA89" s="20"/>
      <x:c r="AB89" s="20"/>
      <x:c r="AC89" s="23"/>
    </x:row>
    <x:row r="90">
      <x:c r="A90" s="20"/>
      <x:c r="B90" s="20"/>
      <x:c r="C90" s="20"/>
      <x:c r="D90" s="23"/>
      <x:c r="E90" s="20"/>
      <x:c r="F90" s="20"/>
      <x:c r="G90" s="20"/>
      <x:c r="H90" s="20"/>
      <x:c r="I90" s="20"/>
      <x:c r="J90" s="20"/>
      <x:c r="K90" s="20"/>
      <x:c r="L90" s="20"/>
      <x:c r="M90" s="20"/>
      <x:c r="N90" s="20"/>
      <x:c r="O90" s="20"/>
      <x:c r="P90" s="23"/>
      <x:c r="Q90" s="23"/>
      <x:c r="R90" s="20"/>
      <x:c r="S90" s="20"/>
      <x:c r="T90" s="20"/>
      <x:c r="U90" s="20"/>
      <x:c r="V90" s="20"/>
      <x:c r="W90" s="20"/>
      <x:c r="X90" s="20"/>
      <x:c r="Y90" s="23"/>
      <x:c r="Z90" s="20"/>
      <x:c r="AA90" s="20"/>
      <x:c r="AB90" s="20"/>
      <x:c r="AC90" s="23"/>
    </x:row>
    <x:row r="91">
      <x:c r="A91" s="20"/>
      <x:c r="B91" s="20"/>
      <x:c r="C91" s="20"/>
      <x:c r="D91" s="23"/>
      <x:c r="E91" s="20"/>
      <x:c r="F91" s="20"/>
      <x:c r="G91" s="20"/>
      <x:c r="H91" s="20"/>
      <x:c r="I91" s="20"/>
      <x:c r="J91" s="20"/>
      <x:c r="K91" s="20"/>
      <x:c r="L91" s="20"/>
      <x:c r="M91" s="20"/>
      <x:c r="N91" s="20"/>
      <x:c r="O91" s="20"/>
      <x:c r="P91" s="23"/>
      <x:c r="Q91" s="23"/>
      <x:c r="R91" s="20"/>
      <x:c r="S91" s="20"/>
      <x:c r="T91" s="20"/>
      <x:c r="U91" s="20"/>
      <x:c r="V91" s="20"/>
      <x:c r="W91" s="20"/>
      <x:c r="X91" s="20"/>
      <x:c r="Y91" s="23"/>
      <x:c r="Z91" s="20"/>
      <x:c r="AA91" s="20"/>
      <x:c r="AB91" s="20"/>
      <x:c r="AC91" s="23"/>
    </x:row>
    <x:row r="92">
      <x:c r="A92" s="20"/>
      <x:c r="B92" s="20"/>
      <x:c r="C92" s="20"/>
      <x:c r="D92" s="23"/>
      <x:c r="E92" s="20"/>
      <x:c r="F92" s="20"/>
      <x:c r="G92" s="20"/>
      <x:c r="H92" s="20"/>
      <x:c r="I92" s="20"/>
      <x:c r="J92" s="20"/>
      <x:c r="K92" s="20"/>
      <x:c r="L92" s="20"/>
      <x:c r="M92" s="20"/>
      <x:c r="N92" s="20"/>
      <x:c r="O92" s="20"/>
      <x:c r="P92" s="23"/>
      <x:c r="Q92" s="23"/>
      <x:c r="R92" s="20"/>
      <x:c r="S92" s="20"/>
      <x:c r="T92" s="20"/>
      <x:c r="U92" s="20"/>
      <x:c r="V92" s="20"/>
      <x:c r="W92" s="20"/>
      <x:c r="X92" s="20"/>
      <x:c r="Y92" s="23"/>
      <x:c r="Z92" s="20"/>
      <x:c r="AA92" s="20"/>
      <x:c r="AB92" s="20"/>
      <x:c r="AC92" s="23"/>
    </x:row>
    <x:row r="93">
      <x:c r="A93" s="20"/>
      <x:c r="B93" s="20"/>
      <x:c r="C93" s="20"/>
      <x:c r="D93" s="23"/>
      <x:c r="E93" s="20"/>
      <x:c r="F93" s="20"/>
      <x:c r="G93" s="20"/>
      <x:c r="H93" s="20"/>
      <x:c r="I93" s="20"/>
      <x:c r="J93" s="20"/>
      <x:c r="K93" s="20"/>
      <x:c r="L93" s="20"/>
      <x:c r="M93" s="20"/>
      <x:c r="N93" s="20"/>
      <x:c r="O93" s="20"/>
      <x:c r="P93" s="23"/>
      <x:c r="Q93" s="23"/>
      <x:c r="R93" s="20"/>
      <x:c r="S93" s="20"/>
      <x:c r="T93" s="20"/>
      <x:c r="U93" s="20"/>
      <x:c r="V93" s="20"/>
      <x:c r="W93" s="20"/>
      <x:c r="X93" s="20"/>
      <x:c r="Y93" s="23"/>
      <x:c r="Z93" s="20"/>
      <x:c r="AA93" s="20"/>
      <x:c r="AB93" s="20"/>
      <x:c r="AC93" s="23"/>
    </x:row>
    <x:row r="94">
      <x:c r="A94" s="20"/>
      <x:c r="B94" s="20"/>
      <x:c r="C94" s="20"/>
      <x:c r="D94" s="23"/>
      <x:c r="E94" s="20"/>
      <x:c r="F94" s="20"/>
      <x:c r="G94" s="20"/>
      <x:c r="H94" s="20"/>
      <x:c r="I94" s="20"/>
      <x:c r="J94" s="20"/>
      <x:c r="K94" s="20"/>
      <x:c r="L94" s="20"/>
      <x:c r="M94" s="20"/>
      <x:c r="N94" s="20"/>
      <x:c r="O94" s="20"/>
      <x:c r="P94" s="23"/>
      <x:c r="Q94" s="23"/>
      <x:c r="R94" s="20"/>
      <x:c r="S94" s="20"/>
      <x:c r="T94" s="20"/>
      <x:c r="U94" s="20"/>
      <x:c r="V94" s="20"/>
      <x:c r="W94" s="20"/>
      <x:c r="X94" s="20"/>
      <x:c r="Y94" s="23"/>
      <x:c r="Z94" s="20"/>
      <x:c r="AA94" s="20"/>
      <x:c r="AB94" s="20"/>
      <x:c r="AC94" s="23"/>
    </x:row>
    <x:row r="95">
      <x:c r="A95" s="20"/>
      <x:c r="B95" s="20"/>
      <x:c r="C95" s="20"/>
      <x:c r="D95" s="23"/>
      <x:c r="E95" s="20"/>
      <x:c r="F95" s="20"/>
      <x:c r="G95" s="20"/>
      <x:c r="H95" s="20"/>
      <x:c r="I95" s="20"/>
      <x:c r="J95" s="20"/>
      <x:c r="K95" s="20"/>
      <x:c r="L95" s="20"/>
      <x:c r="M95" s="20"/>
      <x:c r="N95" s="20"/>
      <x:c r="O95" s="20"/>
      <x:c r="P95" s="23"/>
      <x:c r="Q95" s="23"/>
      <x:c r="R95" s="20"/>
      <x:c r="S95" s="20"/>
      <x:c r="T95" s="20"/>
      <x:c r="U95" s="20"/>
      <x:c r="V95" s="20"/>
      <x:c r="W95" s="20"/>
      <x:c r="X95" s="20"/>
      <x:c r="Y95" s="23"/>
      <x:c r="Z95" s="20"/>
      <x:c r="AA95" s="20"/>
      <x:c r="AB95" s="20"/>
      <x:c r="AC95" s="23"/>
    </x:row>
    <x:row r="96">
      <x:c r="A96" s="20"/>
      <x:c r="B96" s="20"/>
      <x:c r="C96" s="20"/>
      <x:c r="D96" s="23"/>
      <x:c r="E96" s="20"/>
      <x:c r="F96" s="20"/>
      <x:c r="G96" s="20"/>
      <x:c r="H96" s="20"/>
      <x:c r="I96" s="20"/>
      <x:c r="J96" s="20"/>
      <x:c r="K96" s="20"/>
      <x:c r="L96" s="20"/>
      <x:c r="M96" s="20"/>
      <x:c r="N96" s="20"/>
      <x:c r="O96" s="20"/>
      <x:c r="P96" s="23"/>
      <x:c r="Q96" s="23"/>
      <x:c r="R96" s="20"/>
      <x:c r="S96" s="20"/>
      <x:c r="T96" s="20"/>
      <x:c r="U96" s="20"/>
      <x:c r="V96" s="20"/>
      <x:c r="W96" s="20"/>
      <x:c r="X96" s="20"/>
      <x:c r="Y96" s="23"/>
      <x:c r="Z96" s="20"/>
      <x:c r="AA96" s="20"/>
      <x:c r="AB96" s="20"/>
      <x:c r="AC96" s="23"/>
    </x:row>
    <x:row r="97">
      <x:c r="A97" s="20"/>
      <x:c r="B97" s="20"/>
      <x:c r="C97" s="20"/>
      <x:c r="D97" s="23"/>
      <x:c r="E97" s="20"/>
      <x:c r="F97" s="20"/>
      <x:c r="G97" s="20"/>
      <x:c r="H97" s="20"/>
      <x:c r="I97" s="20"/>
      <x:c r="J97" s="20"/>
      <x:c r="K97" s="20"/>
      <x:c r="L97" s="20"/>
      <x:c r="M97" s="20"/>
      <x:c r="N97" s="20"/>
      <x:c r="O97" s="20"/>
      <x:c r="P97" s="23"/>
      <x:c r="Q97" s="23"/>
      <x:c r="R97" s="20"/>
      <x:c r="S97" s="20"/>
      <x:c r="T97" s="20"/>
      <x:c r="U97" s="20"/>
      <x:c r="V97" s="20"/>
      <x:c r="W97" s="20"/>
      <x:c r="X97" s="20"/>
      <x:c r="Y97" s="23"/>
      <x:c r="Z97" s="20"/>
      <x:c r="AA97" s="20"/>
      <x:c r="AB97" s="20"/>
      <x:c r="AC97" s="23"/>
    </x:row>
    <x:row r="98">
      <x:c r="A98" s="20"/>
      <x:c r="B98" s="20"/>
      <x:c r="C98" s="20"/>
      <x:c r="D98" s="23"/>
      <x:c r="E98" s="20"/>
      <x:c r="F98" s="20"/>
      <x:c r="G98" s="20"/>
      <x:c r="H98" s="20"/>
      <x:c r="I98" s="20"/>
      <x:c r="J98" s="20"/>
      <x:c r="K98" s="20"/>
      <x:c r="L98" s="20"/>
      <x:c r="M98" s="20"/>
      <x:c r="N98" s="20"/>
      <x:c r="O98" s="20"/>
      <x:c r="P98" s="23"/>
      <x:c r="Q98" s="23"/>
      <x:c r="R98" s="20"/>
      <x:c r="S98" s="20"/>
      <x:c r="T98" s="20"/>
      <x:c r="U98" s="20"/>
      <x:c r="V98" s="20"/>
      <x:c r="W98" s="20"/>
      <x:c r="X98" s="20"/>
      <x:c r="Y98" s="23"/>
      <x:c r="Z98" s="20"/>
      <x:c r="AA98" s="20"/>
      <x:c r="AB98" s="20"/>
      <x:c r="AC98" s="23"/>
    </x:row>
    <x:row r="99">
      <x:c r="A99" s="20"/>
      <x:c r="B99" s="20"/>
      <x:c r="C99" s="20"/>
      <x:c r="D99" s="23"/>
      <x:c r="E99" s="20"/>
      <x:c r="F99" s="20"/>
      <x:c r="G99" s="20"/>
      <x:c r="H99" s="20"/>
      <x:c r="I99" s="20"/>
      <x:c r="J99" s="20"/>
      <x:c r="K99" s="20"/>
      <x:c r="L99" s="20"/>
      <x:c r="M99" s="20"/>
      <x:c r="N99" s="20"/>
      <x:c r="O99" s="20"/>
      <x:c r="P99" s="23"/>
      <x:c r="Q99" s="23"/>
      <x:c r="R99" s="20"/>
      <x:c r="S99" s="20"/>
      <x:c r="T99" s="20"/>
      <x:c r="U99" s="20"/>
      <x:c r="V99" s="20"/>
      <x:c r="W99" s="20"/>
      <x:c r="X99" s="20"/>
      <x:c r="Y99" s="23"/>
      <x:c r="Z99" s="20"/>
      <x:c r="AA99" s="20"/>
      <x:c r="AB99" s="20"/>
      <x:c r="AC99" s="23"/>
    </x:row>
    <x:row r="100">
      <x:c r="A100" s="20"/>
      <x:c r="B100" s="20"/>
      <x:c r="C100" s="20"/>
      <x:c r="D100" s="23"/>
      <x:c r="E100" s="20"/>
      <x:c r="F100" s="20"/>
      <x:c r="G100" s="20"/>
      <x:c r="H100" s="20"/>
      <x:c r="I100" s="20"/>
      <x:c r="J100" s="20"/>
      <x:c r="K100" s="20"/>
      <x:c r="L100" s="20"/>
      <x:c r="M100" s="20"/>
      <x:c r="N100" s="20"/>
      <x:c r="O100" s="20"/>
      <x:c r="P100" s="23"/>
      <x:c r="Q100" s="23"/>
      <x:c r="R100" s="20"/>
      <x:c r="S100" s="20"/>
      <x:c r="T100" s="20"/>
      <x:c r="U100" s="20"/>
      <x:c r="V100" s="20"/>
      <x:c r="W100" s="20"/>
      <x:c r="X100" s="20"/>
      <x:c r="Y100" s="23"/>
      <x:c r="Z100" s="20"/>
      <x:c r="AA100" s="20"/>
      <x:c r="AB100" s="20"/>
      <x:c r="AC100" s="23"/>
    </x:row>
    <x:row r="101">
      <x:c r="A101" s="20"/>
      <x:c r="B101" s="20"/>
      <x:c r="C101" s="20"/>
      <x:c r="D101" s="23"/>
      <x:c r="E101" s="20"/>
      <x:c r="F101" s="20"/>
      <x:c r="G101" s="20"/>
      <x:c r="H101" s="20"/>
      <x:c r="I101" s="20"/>
      <x:c r="J101" s="20"/>
      <x:c r="K101" s="20"/>
      <x:c r="L101" s="20"/>
      <x:c r="M101" s="20"/>
      <x:c r="N101" s="20"/>
      <x:c r="O101" s="20"/>
      <x:c r="P101" s="23"/>
      <x:c r="Q101" s="23"/>
      <x:c r="R101" s="20"/>
      <x:c r="S101" s="20"/>
      <x:c r="T101" s="20"/>
      <x:c r="U101" s="20"/>
      <x:c r="V101" s="20"/>
      <x:c r="W101" s="20"/>
      <x:c r="X101" s="20"/>
      <x:c r="Y101" s="23"/>
      <x:c r="Z101" s="20"/>
      <x:c r="AA101" s="20"/>
      <x:c r="AB101" s="20"/>
      <x:c r="AC101" s="23"/>
    </x:row>
    <x:row r="102">
      <x:c r="A102" s="20"/>
      <x:c r="B102" s="20"/>
      <x:c r="C102" s="20"/>
      <x:c r="D102" s="23"/>
      <x:c r="E102" s="20"/>
      <x:c r="F102" s="20"/>
      <x:c r="G102" s="20"/>
      <x:c r="H102" s="20"/>
      <x:c r="I102" s="20"/>
      <x:c r="J102" s="20"/>
      <x:c r="K102" s="20"/>
      <x:c r="L102" s="20"/>
      <x:c r="M102" s="20"/>
      <x:c r="N102" s="20"/>
      <x:c r="O102" s="20"/>
      <x:c r="P102" s="23"/>
      <x:c r="Q102" s="23"/>
      <x:c r="R102" s="20"/>
      <x:c r="S102" s="20"/>
      <x:c r="T102" s="20"/>
      <x:c r="U102" s="20"/>
      <x:c r="V102" s="20"/>
      <x:c r="W102" s="20"/>
      <x:c r="X102" s="20"/>
      <x:c r="Y102" s="23"/>
      <x:c r="Z102" s="20"/>
      <x:c r="AA102" s="20"/>
      <x:c r="AB102" s="20"/>
      <x:c r="AC102" s="23"/>
    </x:row>
    <x:row r="103">
      <x:c r="A103" s="20"/>
      <x:c r="B103" s="20"/>
      <x:c r="C103" s="20"/>
      <x:c r="D103" s="23"/>
      <x:c r="E103" s="20"/>
      <x:c r="F103" s="20"/>
      <x:c r="G103" s="20"/>
      <x:c r="H103" s="20"/>
      <x:c r="I103" s="20"/>
      <x:c r="J103" s="20"/>
      <x:c r="K103" s="20"/>
      <x:c r="L103" s="20"/>
      <x:c r="M103" s="20"/>
      <x:c r="N103" s="20"/>
      <x:c r="O103" s="20"/>
      <x:c r="P103" s="23"/>
      <x:c r="Q103" s="23"/>
      <x:c r="R103" s="20"/>
      <x:c r="S103" s="20"/>
      <x:c r="T103" s="20"/>
      <x:c r="U103" s="20"/>
      <x:c r="V103" s="20"/>
      <x:c r="W103" s="20"/>
      <x:c r="X103" s="20"/>
      <x:c r="Y103" s="23"/>
      <x:c r="Z103" s="20"/>
      <x:c r="AA103" s="20"/>
      <x:c r="AB103" s="20"/>
      <x:c r="AC103" s="23"/>
    </x:row>
    <x:row r="104">
      <x:c r="A104" s="20"/>
      <x:c r="B104" s="20"/>
      <x:c r="C104" s="20"/>
      <x:c r="D104" s="23"/>
      <x:c r="E104" s="20"/>
      <x:c r="F104" s="20"/>
      <x:c r="G104" s="20"/>
      <x:c r="H104" s="20"/>
      <x:c r="I104" s="20"/>
      <x:c r="J104" s="20"/>
      <x:c r="K104" s="20"/>
      <x:c r="L104" s="20"/>
      <x:c r="M104" s="20"/>
      <x:c r="N104" s="20"/>
      <x:c r="O104" s="20"/>
      <x:c r="P104" s="23"/>
      <x:c r="Q104" s="23"/>
      <x:c r="R104" s="20"/>
      <x:c r="S104" s="20"/>
      <x:c r="T104" s="20"/>
      <x:c r="U104" s="20"/>
      <x:c r="V104" s="20"/>
      <x:c r="W104" s="20"/>
      <x:c r="X104" s="20"/>
      <x:c r="Y104" s="23"/>
      <x:c r="Z104" s="20"/>
      <x:c r="AA104" s="20"/>
      <x:c r="AB104" s="20"/>
      <x:c r="AC104" s="23"/>
    </x:row>
    <x:row r="105">
      <x:c r="A105" s="20"/>
      <x:c r="B105" s="20"/>
      <x:c r="C105" s="20"/>
      <x:c r="D105" s="23"/>
      <x:c r="E105" s="20"/>
      <x:c r="F105" s="20"/>
      <x:c r="G105" s="20"/>
      <x:c r="H105" s="20"/>
      <x:c r="I105" s="20"/>
      <x:c r="J105" s="20"/>
      <x:c r="K105" s="20"/>
      <x:c r="L105" s="20"/>
      <x:c r="M105" s="20"/>
      <x:c r="N105" s="20"/>
      <x:c r="O105" s="20"/>
      <x:c r="P105" s="23"/>
      <x:c r="Q105" s="23"/>
      <x:c r="R105" s="20"/>
      <x:c r="S105" s="20"/>
      <x:c r="T105" s="20"/>
      <x:c r="U105" s="20"/>
      <x:c r="V105" s="20"/>
      <x:c r="W105" s="20"/>
      <x:c r="X105" s="20"/>
      <x:c r="Y105" s="23"/>
      <x:c r="Z105" s="20"/>
      <x:c r="AA105" s="20"/>
      <x:c r="AB105" s="20"/>
      <x:c r="AC105" s="23"/>
    </x:row>
    <x:row r="106">
      <x:c r="A106" s="20"/>
      <x:c r="B106" s="20"/>
      <x:c r="C106" s="20"/>
      <x:c r="D106" s="23"/>
      <x:c r="E106" s="20"/>
      <x:c r="F106" s="20"/>
      <x:c r="G106" s="20"/>
      <x:c r="H106" s="20"/>
      <x:c r="I106" s="20"/>
      <x:c r="J106" s="20"/>
      <x:c r="K106" s="20"/>
      <x:c r="L106" s="20"/>
      <x:c r="M106" s="20"/>
      <x:c r="N106" s="20"/>
      <x:c r="O106" s="20"/>
      <x:c r="P106" s="23"/>
      <x:c r="Q106" s="23"/>
      <x:c r="R106" s="20"/>
      <x:c r="S106" s="20"/>
      <x:c r="T106" s="20"/>
      <x:c r="U106" s="20"/>
      <x:c r="V106" s="20"/>
      <x:c r="W106" s="20"/>
      <x:c r="X106" s="20"/>
      <x:c r="Y106" s="23"/>
      <x:c r="Z106" s="20"/>
      <x:c r="AA106" s="20"/>
      <x:c r="AB106" s="20"/>
      <x:c r="AC106" s="23"/>
    </x:row>
    <x:row r="107">
      <x:c r="A107" s="20"/>
      <x:c r="B107" s="20"/>
      <x:c r="C107" s="20"/>
      <x:c r="D107" s="23"/>
      <x:c r="E107" s="20"/>
      <x:c r="F107" s="20"/>
      <x:c r="G107" s="20"/>
      <x:c r="H107" s="20"/>
      <x:c r="I107" s="20"/>
      <x:c r="J107" s="20"/>
      <x:c r="K107" s="20"/>
      <x:c r="L107" s="20"/>
      <x:c r="M107" s="20"/>
      <x:c r="N107" s="20"/>
      <x:c r="O107" s="20"/>
      <x:c r="P107" s="23"/>
      <x:c r="Q107" s="23"/>
      <x:c r="R107" s="20"/>
      <x:c r="S107" s="20"/>
      <x:c r="T107" s="20"/>
      <x:c r="U107" s="20"/>
      <x:c r="V107" s="20"/>
      <x:c r="W107" s="20"/>
      <x:c r="X107" s="20"/>
      <x:c r="Y107" s="23"/>
      <x:c r="Z107" s="20"/>
      <x:c r="AA107" s="20"/>
      <x:c r="AB107" s="20"/>
      <x:c r="AC107" s="23"/>
    </x:row>
    <x:row r="108">
      <x:c r="A108" s="20"/>
      <x:c r="B108" s="20"/>
      <x:c r="C108" s="20"/>
      <x:c r="D108" s="23"/>
      <x:c r="E108" s="20"/>
      <x:c r="F108" s="20"/>
      <x:c r="G108" s="20"/>
      <x:c r="H108" s="20"/>
      <x:c r="I108" s="20"/>
      <x:c r="J108" s="20"/>
      <x:c r="K108" s="20"/>
      <x:c r="L108" s="20"/>
      <x:c r="M108" s="20"/>
      <x:c r="N108" s="20"/>
      <x:c r="O108" s="20"/>
      <x:c r="P108" s="23"/>
      <x:c r="Q108" s="23"/>
      <x:c r="R108" s="20"/>
      <x:c r="S108" s="20"/>
      <x:c r="T108" s="20"/>
      <x:c r="U108" s="20"/>
      <x:c r="V108" s="20"/>
      <x:c r="W108" s="20"/>
      <x:c r="X108" s="20"/>
      <x:c r="Y108" s="23"/>
      <x:c r="Z108" s="20"/>
      <x:c r="AA108" s="20"/>
      <x:c r="AB108" s="20"/>
      <x:c r="AC108" s="23"/>
    </x:row>
    <x:row r="109">
      <x:c r="A109" s="20"/>
      <x:c r="B109" s="20"/>
      <x:c r="C109" s="20"/>
      <x:c r="D109" s="23"/>
      <x:c r="E109" s="20"/>
      <x:c r="F109" s="20"/>
      <x:c r="G109" s="20"/>
      <x:c r="H109" s="20"/>
      <x:c r="I109" s="20"/>
      <x:c r="J109" s="20"/>
      <x:c r="K109" s="20"/>
      <x:c r="L109" s="20"/>
      <x:c r="M109" s="20"/>
      <x:c r="N109" s="20"/>
      <x:c r="O109" s="20"/>
      <x:c r="P109" s="23"/>
      <x:c r="Q109" s="23"/>
      <x:c r="R109" s="20"/>
      <x:c r="S109" s="20"/>
      <x:c r="T109" s="20"/>
      <x:c r="U109" s="20"/>
      <x:c r="V109" s="20"/>
      <x:c r="W109" s="20"/>
      <x:c r="X109" s="20"/>
      <x:c r="Y109" s="23"/>
      <x:c r="Z109" s="20"/>
      <x:c r="AA109" s="20"/>
      <x:c r="AB109" s="20"/>
      <x:c r="AC109" s="23"/>
    </x:row>
    <x:row r="110">
      <x:c r="A110" s="20"/>
      <x:c r="B110" s="20"/>
      <x:c r="C110" s="20"/>
      <x:c r="D110" s="23"/>
      <x:c r="E110" s="20"/>
      <x:c r="F110" s="20"/>
      <x:c r="G110" s="20"/>
      <x:c r="H110" s="20"/>
      <x:c r="I110" s="20"/>
      <x:c r="J110" s="20"/>
      <x:c r="K110" s="20"/>
      <x:c r="L110" s="20"/>
      <x:c r="M110" s="20"/>
      <x:c r="N110" s="20"/>
      <x:c r="O110" s="20"/>
      <x:c r="P110" s="23"/>
      <x:c r="Q110" s="23"/>
      <x:c r="R110" s="20"/>
      <x:c r="S110" s="20"/>
      <x:c r="T110" s="20"/>
      <x:c r="U110" s="20"/>
      <x:c r="V110" s="20"/>
      <x:c r="W110" s="20"/>
      <x:c r="X110" s="20"/>
      <x:c r="Y110" s="23"/>
      <x:c r="Z110" s="20"/>
      <x:c r="AA110" s="20"/>
      <x:c r="AB110" s="20"/>
      <x:c r="AC110" s="23"/>
    </x:row>
    <x:row r="111">
      <x:c r="A111" s="20"/>
      <x:c r="B111" s="20"/>
      <x:c r="C111" s="20"/>
      <x:c r="D111" s="23"/>
      <x:c r="E111" s="20"/>
      <x:c r="F111" s="20"/>
      <x:c r="G111" s="20"/>
      <x:c r="H111" s="20"/>
      <x:c r="I111" s="20"/>
      <x:c r="J111" s="20"/>
      <x:c r="K111" s="20"/>
      <x:c r="L111" s="20"/>
      <x:c r="M111" s="20"/>
      <x:c r="N111" s="20"/>
      <x:c r="O111" s="20"/>
      <x:c r="P111" s="23"/>
      <x:c r="Q111" s="23"/>
      <x:c r="R111" s="20"/>
      <x:c r="S111" s="20"/>
      <x:c r="T111" s="20"/>
      <x:c r="U111" s="20"/>
      <x:c r="V111" s="20"/>
      <x:c r="W111" s="20"/>
      <x:c r="X111" s="20"/>
      <x:c r="Y111" s="23"/>
      <x:c r="Z111" s="20"/>
      <x:c r="AA111" s="20"/>
      <x:c r="AB111" s="20"/>
      <x:c r="AC111" s="23"/>
    </x:row>
    <x:row r="112">
      <x:c r="A112" s="20"/>
      <x:c r="B112" s="20"/>
      <x:c r="C112" s="20"/>
      <x:c r="D112" s="23"/>
      <x:c r="E112" s="20"/>
      <x:c r="F112" s="20"/>
      <x:c r="G112" s="20"/>
      <x:c r="H112" s="20"/>
      <x:c r="I112" s="20"/>
      <x:c r="J112" s="20"/>
      <x:c r="K112" s="20"/>
      <x:c r="L112" s="20"/>
      <x:c r="M112" s="20"/>
      <x:c r="N112" s="20"/>
      <x:c r="O112" s="20"/>
      <x:c r="P112" s="23"/>
      <x:c r="Q112" s="23"/>
      <x:c r="R112" s="20"/>
      <x:c r="S112" s="20"/>
      <x:c r="T112" s="20"/>
      <x:c r="U112" s="20"/>
      <x:c r="V112" s="20"/>
      <x:c r="W112" s="20"/>
      <x:c r="X112" s="20"/>
      <x:c r="Y112" s="23"/>
      <x:c r="Z112" s="20"/>
      <x:c r="AA112" s="20"/>
      <x:c r="AB112" s="20"/>
      <x:c r="AC112" s="23"/>
    </x:row>
    <x:row r="113">
      <x:c r="A113" s="20"/>
      <x:c r="B113" s="20"/>
      <x:c r="C113" s="20"/>
      <x:c r="D113" s="23"/>
      <x:c r="E113" s="20"/>
      <x:c r="F113" s="20"/>
      <x:c r="G113" s="20"/>
      <x:c r="H113" s="20"/>
      <x:c r="I113" s="20"/>
      <x:c r="J113" s="20"/>
      <x:c r="K113" s="20"/>
      <x:c r="L113" s="20"/>
      <x:c r="M113" s="20"/>
      <x:c r="N113" s="20"/>
      <x:c r="O113" s="20"/>
      <x:c r="P113" s="23"/>
      <x:c r="Q113" s="23"/>
      <x:c r="R113" s="20"/>
      <x:c r="S113" s="20"/>
      <x:c r="T113" s="20"/>
      <x:c r="U113" s="20"/>
      <x:c r="V113" s="20"/>
      <x:c r="W113" s="20"/>
      <x:c r="X113" s="20"/>
      <x:c r="Y113" s="23"/>
      <x:c r="Z113" s="20"/>
      <x:c r="AA113" s="20"/>
      <x:c r="AB113" s="20"/>
      <x:c r="AC113" s="23"/>
    </x:row>
    <x:row r="114">
      <x:c r="A114" s="20"/>
      <x:c r="B114" s="20"/>
      <x:c r="C114" s="20"/>
      <x:c r="D114" s="23"/>
      <x:c r="E114" s="20"/>
      <x:c r="F114" s="20"/>
      <x:c r="G114" s="20"/>
      <x:c r="H114" s="20"/>
      <x:c r="I114" s="20"/>
      <x:c r="J114" s="20"/>
      <x:c r="K114" s="20"/>
      <x:c r="L114" s="20"/>
      <x:c r="M114" s="20"/>
      <x:c r="N114" s="20"/>
      <x:c r="O114" s="20"/>
      <x:c r="P114" s="23"/>
      <x:c r="Q114" s="23"/>
      <x:c r="R114" s="20"/>
      <x:c r="S114" s="20"/>
      <x:c r="T114" s="20"/>
      <x:c r="U114" s="20"/>
      <x:c r="V114" s="20"/>
      <x:c r="W114" s="20"/>
      <x:c r="X114" s="20"/>
      <x:c r="Y114" s="23"/>
      <x:c r="Z114" s="20"/>
      <x:c r="AA114" s="20"/>
      <x:c r="AB114" s="20"/>
      <x:c r="AC114" s="23"/>
    </x:row>
    <x:row r="115">
      <x:c r="A115" s="20"/>
      <x:c r="B115" s="20"/>
      <x:c r="C115" s="20"/>
      <x:c r="D115" s="23"/>
      <x:c r="E115" s="20"/>
      <x:c r="F115" s="20"/>
      <x:c r="G115" s="20"/>
      <x:c r="H115" s="20"/>
      <x:c r="I115" s="20"/>
      <x:c r="J115" s="20"/>
      <x:c r="K115" s="20"/>
      <x:c r="L115" s="20"/>
      <x:c r="M115" s="20"/>
      <x:c r="N115" s="20"/>
      <x:c r="O115" s="20"/>
      <x:c r="P115" s="23"/>
      <x:c r="Q115" s="23"/>
      <x:c r="R115" s="20"/>
      <x:c r="S115" s="20"/>
      <x:c r="T115" s="20"/>
      <x:c r="U115" s="20"/>
      <x:c r="V115" s="20"/>
      <x:c r="W115" s="20"/>
      <x:c r="X115" s="20"/>
      <x:c r="Y115" s="23"/>
      <x:c r="Z115" s="20"/>
      <x:c r="AA115" s="20"/>
      <x:c r="AB115" s="20"/>
      <x:c r="AC115" s="23"/>
    </x:row>
    <x:row r="116">
      <x:c r="A116" s="20"/>
      <x:c r="B116" s="20"/>
      <x:c r="C116" s="20"/>
      <x:c r="D116" s="23"/>
      <x:c r="E116" s="20"/>
      <x:c r="F116" s="20"/>
      <x:c r="G116" s="20"/>
      <x:c r="H116" s="20"/>
      <x:c r="I116" s="20"/>
      <x:c r="J116" s="20"/>
      <x:c r="K116" s="20"/>
      <x:c r="L116" s="20"/>
      <x:c r="M116" s="20"/>
      <x:c r="N116" s="20"/>
      <x:c r="O116" s="20"/>
      <x:c r="P116" s="23"/>
      <x:c r="Q116" s="23"/>
      <x:c r="R116" s="20"/>
      <x:c r="S116" s="20"/>
      <x:c r="T116" s="20"/>
      <x:c r="U116" s="20"/>
      <x:c r="V116" s="20"/>
      <x:c r="W116" s="20"/>
      <x:c r="X116" s="20"/>
      <x:c r="Y116" s="23"/>
      <x:c r="Z116" s="20"/>
      <x:c r="AA116" s="20"/>
      <x:c r="AB116" s="20"/>
      <x:c r="AC116" s="23"/>
    </x:row>
    <x:row r="117">
      <x:c r="A117" s="20"/>
      <x:c r="B117" s="20"/>
      <x:c r="C117" s="20"/>
      <x:c r="D117" s="23"/>
      <x:c r="E117" s="20"/>
      <x:c r="F117" s="20"/>
      <x:c r="G117" s="20"/>
      <x:c r="H117" s="20"/>
      <x:c r="I117" s="20"/>
      <x:c r="J117" s="20"/>
      <x:c r="K117" s="20"/>
      <x:c r="L117" s="20"/>
      <x:c r="M117" s="20"/>
      <x:c r="N117" s="20"/>
      <x:c r="O117" s="20"/>
      <x:c r="P117" s="23"/>
      <x:c r="Q117" s="23"/>
      <x:c r="R117" s="20"/>
      <x:c r="S117" s="20"/>
      <x:c r="T117" s="20"/>
      <x:c r="U117" s="20"/>
      <x:c r="V117" s="20"/>
      <x:c r="W117" s="20"/>
      <x:c r="X117" s="20"/>
      <x:c r="Y117" s="23"/>
      <x:c r="Z117" s="20"/>
      <x:c r="AA117" s="20"/>
      <x:c r="AB117" s="20"/>
      <x:c r="AC117" s="23"/>
    </x:row>
    <x:row r="118">
      <x:c r="A118" s="20"/>
      <x:c r="B118" s="20"/>
      <x:c r="C118" s="20"/>
      <x:c r="D118" s="23"/>
      <x:c r="E118" s="20"/>
      <x:c r="F118" s="20"/>
      <x:c r="G118" s="20"/>
      <x:c r="H118" s="20"/>
      <x:c r="I118" s="20"/>
      <x:c r="J118" s="20"/>
      <x:c r="K118" s="20"/>
      <x:c r="L118" s="20"/>
      <x:c r="M118" s="20"/>
      <x:c r="N118" s="20"/>
      <x:c r="O118" s="20"/>
      <x:c r="P118" s="23"/>
      <x:c r="Q118" s="23"/>
      <x:c r="R118" s="20"/>
      <x:c r="S118" s="20"/>
      <x:c r="T118" s="20"/>
      <x:c r="U118" s="20"/>
      <x:c r="V118" s="20"/>
      <x:c r="W118" s="20"/>
      <x:c r="X118" s="20"/>
      <x:c r="Y118" s="23"/>
      <x:c r="Z118" s="20"/>
      <x:c r="AA118" s="20"/>
      <x:c r="AB118" s="20"/>
      <x:c r="AC118" s="23"/>
    </x:row>
    <x:row r="119">
      <x:c r="A119" s="20"/>
      <x:c r="B119" s="20"/>
      <x:c r="C119" s="20"/>
      <x:c r="D119" s="23"/>
      <x:c r="E119" s="20"/>
      <x:c r="F119" s="20"/>
      <x:c r="G119" s="20"/>
      <x:c r="H119" s="20"/>
      <x:c r="I119" s="20"/>
      <x:c r="J119" s="20"/>
      <x:c r="K119" s="20"/>
      <x:c r="L119" s="20"/>
      <x:c r="M119" s="20"/>
      <x:c r="N119" s="20"/>
      <x:c r="O119" s="20"/>
      <x:c r="P119" s="23"/>
      <x:c r="Q119" s="23"/>
      <x:c r="R119" s="20"/>
      <x:c r="S119" s="20"/>
      <x:c r="T119" s="20"/>
      <x:c r="U119" s="20"/>
      <x:c r="V119" s="20"/>
      <x:c r="W119" s="20"/>
      <x:c r="X119" s="20"/>
      <x:c r="Y119" s="23"/>
      <x:c r="Z119" s="20"/>
      <x:c r="AA119" s="20"/>
      <x:c r="AB119" s="20"/>
      <x:c r="AC119" s="23"/>
    </x:row>
    <x:row r="120">
      <x:c r="A120" s="20"/>
      <x:c r="B120" s="20"/>
      <x:c r="C120" s="20"/>
      <x:c r="D120" s="23"/>
      <x:c r="E120" s="20"/>
      <x:c r="F120" s="20"/>
      <x:c r="G120" s="20"/>
      <x:c r="H120" s="20"/>
      <x:c r="I120" s="20"/>
      <x:c r="J120" s="20"/>
      <x:c r="K120" s="20"/>
      <x:c r="L120" s="20"/>
      <x:c r="M120" s="20"/>
      <x:c r="N120" s="20"/>
      <x:c r="O120" s="20"/>
      <x:c r="P120" s="23"/>
      <x:c r="Q120" s="23"/>
      <x:c r="R120" s="20"/>
      <x:c r="S120" s="20"/>
      <x:c r="T120" s="20"/>
      <x:c r="U120" s="20"/>
      <x:c r="V120" s="20"/>
      <x:c r="W120" s="20"/>
      <x:c r="X120" s="20"/>
      <x:c r="Y120" s="23"/>
      <x:c r="Z120" s="20"/>
      <x:c r="AA120" s="20"/>
      <x:c r="AB120" s="20"/>
      <x:c r="AC120" s="23"/>
    </x:row>
    <x:row r="121">
      <x:c r="A121" s="20"/>
      <x:c r="B121" s="20"/>
      <x:c r="C121" s="20"/>
      <x:c r="D121" s="23"/>
      <x:c r="E121" s="20"/>
      <x:c r="F121" s="20"/>
      <x:c r="G121" s="20"/>
      <x:c r="H121" s="20"/>
      <x:c r="I121" s="20"/>
      <x:c r="J121" s="20"/>
      <x:c r="K121" s="20"/>
      <x:c r="L121" s="20"/>
      <x:c r="M121" s="20"/>
      <x:c r="N121" s="20"/>
      <x:c r="O121" s="20"/>
      <x:c r="P121" s="23"/>
      <x:c r="Q121" s="23"/>
      <x:c r="R121" s="20"/>
      <x:c r="S121" s="20"/>
      <x:c r="T121" s="20"/>
      <x:c r="U121" s="20"/>
      <x:c r="V121" s="20"/>
      <x:c r="W121" s="20"/>
      <x:c r="X121" s="20"/>
      <x:c r="Y121" s="23"/>
      <x:c r="Z121" s="20"/>
      <x:c r="AA121" s="20"/>
      <x:c r="AB121" s="20"/>
      <x:c r="AC121" s="23"/>
    </x:row>
    <x:row r="122">
      <x:c r="A122" s="20"/>
      <x:c r="B122" s="20"/>
      <x:c r="C122" s="20"/>
      <x:c r="D122" s="23"/>
      <x:c r="E122" s="20"/>
      <x:c r="F122" s="20"/>
      <x:c r="G122" s="20"/>
      <x:c r="H122" s="20"/>
      <x:c r="I122" s="20"/>
      <x:c r="J122" s="20"/>
      <x:c r="K122" s="20"/>
      <x:c r="L122" s="20"/>
      <x:c r="M122" s="20"/>
      <x:c r="N122" s="20"/>
      <x:c r="O122" s="20"/>
      <x:c r="P122" s="23"/>
      <x:c r="Q122" s="23"/>
      <x:c r="R122" s="20"/>
      <x:c r="S122" s="20"/>
      <x:c r="T122" s="20"/>
      <x:c r="U122" s="20"/>
      <x:c r="V122" s="20"/>
      <x:c r="W122" s="20"/>
      <x:c r="X122" s="20"/>
      <x:c r="Y122" s="23"/>
      <x:c r="Z122" s="20"/>
      <x:c r="AA122" s="20"/>
      <x:c r="AB122" s="20"/>
      <x:c r="AC122" s="23"/>
    </x:row>
    <x:row r="123">
      <x:c r="A123" s="20"/>
      <x:c r="B123" s="20"/>
      <x:c r="C123" s="20"/>
      <x:c r="D123" s="23"/>
      <x:c r="E123" s="20"/>
      <x:c r="F123" s="20"/>
      <x:c r="G123" s="20"/>
      <x:c r="H123" s="20"/>
      <x:c r="I123" s="20"/>
      <x:c r="J123" s="20"/>
      <x:c r="K123" s="20"/>
      <x:c r="L123" s="20"/>
      <x:c r="M123" s="20"/>
      <x:c r="N123" s="20"/>
      <x:c r="O123" s="20"/>
      <x:c r="P123" s="23"/>
      <x:c r="Q123" s="23"/>
      <x:c r="R123" s="20"/>
      <x:c r="S123" s="20"/>
      <x:c r="T123" s="20"/>
      <x:c r="U123" s="20"/>
      <x:c r="V123" s="20"/>
      <x:c r="W123" s="20"/>
      <x:c r="X123" s="20"/>
      <x:c r="Y123" s="23"/>
      <x:c r="Z123" s="20"/>
      <x:c r="AA123" s="20"/>
      <x:c r="AB123" s="20"/>
      <x:c r="AC123" s="23"/>
    </x:row>
    <x:row r="124">
      <x:c r="A124" s="20"/>
      <x:c r="B124" s="20"/>
      <x:c r="C124" s="20"/>
      <x:c r="D124" s="23"/>
      <x:c r="E124" s="20"/>
      <x:c r="F124" s="20"/>
      <x:c r="G124" s="20"/>
      <x:c r="H124" s="20"/>
      <x:c r="I124" s="20"/>
      <x:c r="J124" s="20"/>
      <x:c r="K124" s="20"/>
      <x:c r="L124" s="20"/>
      <x:c r="M124" s="20"/>
      <x:c r="N124" s="20"/>
      <x:c r="O124" s="20"/>
      <x:c r="P124" s="23"/>
      <x:c r="Q124" s="23"/>
      <x:c r="R124" s="20"/>
      <x:c r="S124" s="20"/>
      <x:c r="T124" s="20"/>
      <x:c r="U124" s="20"/>
      <x:c r="V124" s="20"/>
      <x:c r="W124" s="20"/>
      <x:c r="X124" s="20"/>
      <x:c r="Y124" s="23"/>
      <x:c r="Z124" s="20"/>
      <x:c r="AA124" s="20"/>
      <x:c r="AB124" s="20"/>
      <x:c r="AC124" s="23"/>
    </x:row>
    <x:row r="125">
      <x:c r="A125" s="20"/>
      <x:c r="B125" s="20"/>
      <x:c r="C125" s="20"/>
      <x:c r="D125" s="23"/>
      <x:c r="E125" s="20"/>
      <x:c r="F125" s="20"/>
      <x:c r="G125" s="20"/>
      <x:c r="H125" s="20"/>
      <x:c r="I125" s="20"/>
      <x:c r="J125" s="20"/>
      <x:c r="K125" s="20"/>
      <x:c r="L125" s="20"/>
      <x:c r="M125" s="20"/>
      <x:c r="N125" s="20"/>
      <x:c r="O125" s="20"/>
      <x:c r="P125" s="23"/>
      <x:c r="Q125" s="23"/>
      <x:c r="R125" s="20"/>
      <x:c r="S125" s="20"/>
      <x:c r="T125" s="20"/>
      <x:c r="U125" s="20"/>
      <x:c r="V125" s="20"/>
      <x:c r="W125" s="20"/>
      <x:c r="X125" s="20"/>
      <x:c r="Y125" s="23"/>
      <x:c r="Z125" s="20"/>
      <x:c r="AA125" s="20"/>
      <x:c r="AB125" s="20"/>
      <x:c r="AC125" s="23"/>
    </x:row>
    <x:row r="126">
      <x:c r="A126" s="20"/>
      <x:c r="B126" s="20"/>
      <x:c r="C126" s="20"/>
      <x:c r="D126" s="23"/>
      <x:c r="E126" s="20"/>
      <x:c r="F126" s="20"/>
      <x:c r="G126" s="20"/>
      <x:c r="H126" s="20"/>
      <x:c r="I126" s="20"/>
      <x:c r="J126" s="20"/>
      <x:c r="K126" s="20"/>
      <x:c r="L126" s="20"/>
      <x:c r="M126" s="20"/>
      <x:c r="N126" s="20"/>
      <x:c r="O126" s="20"/>
      <x:c r="P126" s="23"/>
      <x:c r="Q126" s="23"/>
      <x:c r="R126" s="20"/>
      <x:c r="S126" s="20"/>
      <x:c r="T126" s="20"/>
      <x:c r="U126" s="20"/>
      <x:c r="V126" s="20"/>
      <x:c r="W126" s="20"/>
      <x:c r="X126" s="20"/>
      <x:c r="Y126" s="23"/>
      <x:c r="Z126" s="20"/>
      <x:c r="AA126" s="20"/>
      <x:c r="AB126" s="20"/>
      <x:c r="AC126" s="23"/>
    </x:row>
    <x:row r="127">
      <x:c r="A127" s="20"/>
      <x:c r="B127" s="20"/>
      <x:c r="C127" s="20"/>
      <x:c r="D127" s="23"/>
      <x:c r="E127" s="20"/>
      <x:c r="F127" s="20"/>
      <x:c r="G127" s="20"/>
      <x:c r="H127" s="20"/>
      <x:c r="I127" s="20"/>
      <x:c r="J127" s="20"/>
      <x:c r="K127" s="20"/>
      <x:c r="L127" s="20"/>
      <x:c r="M127" s="20"/>
      <x:c r="N127" s="20"/>
      <x:c r="O127" s="20"/>
      <x:c r="P127" s="23"/>
      <x:c r="Q127" s="23"/>
      <x:c r="R127" s="20"/>
      <x:c r="S127" s="20"/>
      <x:c r="T127" s="20"/>
      <x:c r="U127" s="20"/>
      <x:c r="V127" s="20"/>
      <x:c r="W127" s="20"/>
      <x:c r="X127" s="20"/>
      <x:c r="Y127" s="23"/>
      <x:c r="Z127" s="20"/>
      <x:c r="AA127" s="20"/>
      <x:c r="AB127" s="20"/>
      <x:c r="AC127" s="23"/>
    </x:row>
    <x:row r="128">
      <x:c r="A128" s="20"/>
      <x:c r="B128" s="20"/>
      <x:c r="C128" s="20"/>
      <x:c r="D128" s="23"/>
      <x:c r="E128" s="20"/>
      <x:c r="F128" s="20"/>
      <x:c r="G128" s="20"/>
      <x:c r="H128" s="20"/>
      <x:c r="I128" s="20"/>
      <x:c r="J128" s="20"/>
      <x:c r="K128" s="20"/>
      <x:c r="L128" s="20"/>
      <x:c r="M128" s="20"/>
      <x:c r="N128" s="20"/>
      <x:c r="O128" s="20"/>
      <x:c r="P128" s="23"/>
      <x:c r="Q128" s="23"/>
      <x:c r="R128" s="20"/>
      <x:c r="S128" s="20"/>
      <x:c r="T128" s="20"/>
      <x:c r="U128" s="20"/>
      <x:c r="V128" s="20"/>
      <x:c r="W128" s="20"/>
      <x:c r="X128" s="20"/>
      <x:c r="Y128" s="23"/>
      <x:c r="Z128" s="20"/>
      <x:c r="AA128" s="20"/>
      <x:c r="AB128" s="20"/>
      <x:c r="AC128" s="23"/>
    </x:row>
    <x:row r="129">
      <x:c r="A129" s="20"/>
      <x:c r="B129" s="20"/>
      <x:c r="C129" s="20"/>
      <x:c r="D129" s="23"/>
      <x:c r="E129" s="20"/>
      <x:c r="F129" s="20"/>
      <x:c r="G129" s="20"/>
      <x:c r="H129" s="20"/>
      <x:c r="I129" s="20"/>
      <x:c r="J129" s="20"/>
      <x:c r="K129" s="20"/>
      <x:c r="L129" s="20"/>
      <x:c r="M129" s="20"/>
      <x:c r="N129" s="20"/>
      <x:c r="O129" s="20"/>
      <x:c r="P129" s="23"/>
      <x:c r="Q129" s="23"/>
      <x:c r="R129" s="20"/>
      <x:c r="S129" s="20"/>
      <x:c r="T129" s="20"/>
      <x:c r="U129" s="20"/>
      <x:c r="V129" s="20"/>
      <x:c r="W129" s="20"/>
      <x:c r="X129" s="20"/>
      <x:c r="Y129" s="23"/>
      <x:c r="Z129" s="20"/>
      <x:c r="AA129" s="20"/>
      <x:c r="AB129" s="20"/>
      <x:c r="AC129" s="23"/>
    </x:row>
    <x:row r="130">
      <x:c r="A130" s="20"/>
      <x:c r="B130" s="20"/>
      <x:c r="C130" s="20"/>
      <x:c r="D130" s="23"/>
      <x:c r="E130" s="20"/>
      <x:c r="F130" s="20"/>
      <x:c r="G130" s="20"/>
      <x:c r="H130" s="20"/>
      <x:c r="I130" s="20"/>
      <x:c r="J130" s="20"/>
      <x:c r="K130" s="20"/>
      <x:c r="L130" s="20"/>
      <x:c r="M130" s="20"/>
      <x:c r="N130" s="20"/>
      <x:c r="O130" s="20"/>
      <x:c r="P130" s="23"/>
      <x:c r="Q130" s="23"/>
      <x:c r="R130" s="20"/>
      <x:c r="S130" s="20"/>
      <x:c r="T130" s="20"/>
      <x:c r="U130" s="20"/>
      <x:c r="V130" s="20"/>
      <x:c r="W130" s="20"/>
      <x:c r="X130" s="20"/>
      <x:c r="Y130" s="23"/>
      <x:c r="Z130" s="20"/>
      <x:c r="AA130" s="20"/>
      <x:c r="AB130" s="20"/>
      <x:c r="AC130" s="23"/>
    </x:row>
    <x:row r="131">
      <x:c r="A131" s="20"/>
      <x:c r="B131" s="20"/>
      <x:c r="C131" s="20"/>
      <x:c r="D131" s="23"/>
      <x:c r="E131" s="20"/>
      <x:c r="F131" s="20"/>
      <x:c r="G131" s="20"/>
      <x:c r="H131" s="20"/>
      <x:c r="I131" s="20"/>
      <x:c r="J131" s="20"/>
      <x:c r="K131" s="20"/>
      <x:c r="L131" s="20"/>
      <x:c r="M131" s="20"/>
      <x:c r="N131" s="20"/>
      <x:c r="O131" s="20"/>
      <x:c r="P131" s="23"/>
      <x:c r="Q131" s="23"/>
      <x:c r="R131" s="20"/>
      <x:c r="S131" s="20"/>
      <x:c r="T131" s="20"/>
      <x:c r="U131" s="20"/>
      <x:c r="V131" s="20"/>
      <x:c r="W131" s="20"/>
      <x:c r="X131" s="20"/>
      <x:c r="Y131" s="23"/>
      <x:c r="Z131" s="20"/>
      <x:c r="AA131" s="20"/>
      <x:c r="AB131" s="20"/>
      <x:c r="AC131" s="23"/>
    </x:row>
    <x:row r="132">
      <x:c r="A132" s="20"/>
      <x:c r="B132" s="20"/>
      <x:c r="C132" s="20"/>
      <x:c r="D132" s="23"/>
      <x:c r="E132" s="20"/>
      <x:c r="F132" s="20"/>
      <x:c r="G132" s="20"/>
      <x:c r="H132" s="20"/>
      <x:c r="I132" s="20"/>
      <x:c r="J132" s="20"/>
      <x:c r="K132" s="20"/>
      <x:c r="L132" s="20"/>
      <x:c r="M132" s="20"/>
      <x:c r="N132" s="20"/>
      <x:c r="O132" s="20"/>
      <x:c r="P132" s="23"/>
      <x:c r="Q132" s="23"/>
      <x:c r="R132" s="20"/>
      <x:c r="S132" s="20"/>
      <x:c r="T132" s="20"/>
      <x:c r="U132" s="20"/>
      <x:c r="V132" s="20"/>
      <x:c r="W132" s="20"/>
      <x:c r="X132" s="20"/>
      <x:c r="Y132" s="23"/>
      <x:c r="Z132" s="20"/>
      <x:c r="AA132" s="20"/>
      <x:c r="AB132" s="20"/>
      <x:c r="AC132" s="23"/>
    </x:row>
    <x:row r="133">
      <x:c r="A133" s="20"/>
      <x:c r="B133" s="20"/>
      <x:c r="C133" s="20"/>
      <x:c r="D133" s="23"/>
      <x:c r="E133" s="20"/>
      <x:c r="F133" s="20"/>
      <x:c r="G133" s="20"/>
      <x:c r="H133" s="20"/>
      <x:c r="I133" s="20"/>
      <x:c r="J133" s="20"/>
      <x:c r="K133" s="20"/>
      <x:c r="L133" s="20"/>
      <x:c r="M133" s="20"/>
      <x:c r="N133" s="20"/>
      <x:c r="O133" s="20"/>
      <x:c r="P133" s="23"/>
      <x:c r="Q133" s="23"/>
      <x:c r="R133" s="20"/>
      <x:c r="S133" s="20"/>
      <x:c r="T133" s="20"/>
      <x:c r="U133" s="20"/>
      <x:c r="V133" s="20"/>
      <x:c r="W133" s="20"/>
      <x:c r="X133" s="20"/>
      <x:c r="Y133" s="23"/>
      <x:c r="Z133" s="20"/>
      <x:c r="AA133" s="20"/>
      <x:c r="AB133" s="20"/>
      <x:c r="AC133" s="23"/>
    </x:row>
    <x:row r="134">
      <x:c r="A134" s="20"/>
      <x:c r="B134" s="20"/>
      <x:c r="C134" s="20"/>
      <x:c r="D134" s="23"/>
      <x:c r="E134" s="20"/>
      <x:c r="F134" s="20"/>
      <x:c r="G134" s="20"/>
      <x:c r="H134" s="20"/>
      <x:c r="I134" s="20"/>
      <x:c r="J134" s="20"/>
      <x:c r="K134" s="20"/>
      <x:c r="L134" s="20"/>
      <x:c r="M134" s="20"/>
      <x:c r="N134" s="20"/>
      <x:c r="O134" s="20"/>
      <x:c r="P134" s="23"/>
      <x:c r="Q134" s="23"/>
      <x:c r="R134" s="20"/>
      <x:c r="S134" s="20"/>
      <x:c r="T134" s="20"/>
      <x:c r="U134" s="20"/>
      <x:c r="V134" s="20"/>
      <x:c r="W134" s="20"/>
      <x:c r="X134" s="20"/>
      <x:c r="Y134" s="23"/>
      <x:c r="Z134" s="20"/>
      <x:c r="AA134" s="20"/>
      <x:c r="AB134" s="20"/>
      <x:c r="AC134" s="23"/>
    </x:row>
    <x:row r="135">
      <x:c r="A135" s="20"/>
      <x:c r="B135" s="20"/>
      <x:c r="C135" s="20"/>
      <x:c r="D135" s="23"/>
      <x:c r="E135" s="20"/>
      <x:c r="F135" s="20"/>
      <x:c r="G135" s="20"/>
      <x:c r="H135" s="20"/>
      <x:c r="I135" s="20"/>
      <x:c r="J135" s="20"/>
      <x:c r="K135" s="20"/>
      <x:c r="L135" s="20"/>
      <x:c r="M135" s="20"/>
      <x:c r="N135" s="20"/>
      <x:c r="O135" s="20"/>
      <x:c r="P135" s="23"/>
      <x:c r="Q135" s="23"/>
      <x:c r="R135" s="20"/>
      <x:c r="S135" s="20"/>
      <x:c r="T135" s="20"/>
      <x:c r="U135" s="20"/>
      <x:c r="V135" s="20"/>
      <x:c r="W135" s="20"/>
      <x:c r="X135" s="20"/>
      <x:c r="Y135" s="23"/>
      <x:c r="Z135" s="20"/>
      <x:c r="AA135" s="20"/>
      <x:c r="AB135" s="20"/>
      <x:c r="AC135" s="23"/>
    </x:row>
    <x:row r="136">
      <x:c r="A136" s="20"/>
      <x:c r="B136" s="20"/>
      <x:c r="C136" s="20"/>
      <x:c r="D136" s="23"/>
      <x:c r="E136" s="20"/>
      <x:c r="F136" s="20"/>
      <x:c r="G136" s="20"/>
      <x:c r="H136" s="20"/>
      <x:c r="I136" s="20"/>
      <x:c r="J136" s="20"/>
      <x:c r="K136" s="20"/>
      <x:c r="L136" s="20"/>
      <x:c r="M136" s="20"/>
      <x:c r="N136" s="20"/>
      <x:c r="O136" s="20"/>
      <x:c r="P136" s="23"/>
      <x:c r="Q136" s="23"/>
      <x:c r="R136" s="20"/>
      <x:c r="S136" s="20"/>
      <x:c r="T136" s="20"/>
      <x:c r="U136" s="20"/>
      <x:c r="V136" s="20"/>
      <x:c r="W136" s="20"/>
      <x:c r="X136" s="20"/>
      <x:c r="Y136" s="23"/>
      <x:c r="Z136" s="20"/>
      <x:c r="AA136" s="20"/>
      <x:c r="AB136" s="20"/>
      <x:c r="AC136" s="23"/>
    </x:row>
    <x:row r="137">
      <x:c r="A137" s="20"/>
      <x:c r="B137" s="20"/>
      <x:c r="C137" s="20"/>
      <x:c r="D137" s="23"/>
      <x:c r="E137" s="20"/>
      <x:c r="F137" s="20"/>
      <x:c r="G137" s="20"/>
      <x:c r="H137" s="20"/>
      <x:c r="I137" s="20"/>
      <x:c r="J137" s="20"/>
      <x:c r="K137" s="20"/>
      <x:c r="L137" s="20"/>
      <x:c r="M137" s="20"/>
      <x:c r="N137" s="20"/>
      <x:c r="O137" s="20"/>
      <x:c r="P137" s="23"/>
      <x:c r="Q137" s="23"/>
      <x:c r="R137" s="20"/>
      <x:c r="S137" s="20"/>
      <x:c r="T137" s="20"/>
      <x:c r="U137" s="20"/>
      <x:c r="V137" s="20"/>
      <x:c r="W137" s="20"/>
      <x:c r="X137" s="20"/>
      <x:c r="Y137" s="23"/>
      <x:c r="Z137" s="20"/>
      <x:c r="AA137" s="20"/>
      <x:c r="AB137" s="20"/>
      <x:c r="AC137" s="23"/>
    </x:row>
    <x:row r="138">
      <x:c r="A138" s="20"/>
      <x:c r="B138" s="20"/>
      <x:c r="C138" s="20"/>
      <x:c r="D138" s="23"/>
      <x:c r="E138" s="20"/>
      <x:c r="F138" s="20"/>
      <x:c r="G138" s="20"/>
      <x:c r="H138" s="20"/>
      <x:c r="I138" s="20"/>
      <x:c r="J138" s="20"/>
      <x:c r="K138" s="20"/>
      <x:c r="L138" s="20"/>
      <x:c r="M138" s="20"/>
      <x:c r="N138" s="20"/>
      <x:c r="O138" s="20"/>
      <x:c r="P138" s="23"/>
      <x:c r="Q138" s="23"/>
      <x:c r="R138" s="20"/>
      <x:c r="S138" s="20"/>
      <x:c r="T138" s="20"/>
      <x:c r="U138" s="20"/>
      <x:c r="V138" s="20"/>
      <x:c r="W138" s="20"/>
      <x:c r="X138" s="20"/>
      <x:c r="Y138" s="23"/>
      <x:c r="Z138" s="20"/>
      <x:c r="AA138" s="20"/>
      <x:c r="AB138" s="20"/>
      <x:c r="AC138" s="23"/>
    </x:row>
    <x:row r="139">
      <x:c r="A139" s="20"/>
      <x:c r="B139" s="20"/>
      <x:c r="C139" s="20"/>
      <x:c r="D139" s="23"/>
      <x:c r="E139" s="20"/>
      <x:c r="F139" s="20"/>
      <x:c r="G139" s="20"/>
      <x:c r="H139" s="20"/>
      <x:c r="I139" s="20"/>
      <x:c r="J139" s="20"/>
      <x:c r="K139" s="20"/>
      <x:c r="L139" s="20"/>
      <x:c r="M139" s="20"/>
      <x:c r="N139" s="20"/>
      <x:c r="O139" s="20"/>
      <x:c r="P139" s="23"/>
      <x:c r="Q139" s="23"/>
      <x:c r="R139" s="20"/>
      <x:c r="S139" s="20"/>
      <x:c r="T139" s="20"/>
      <x:c r="U139" s="20"/>
      <x:c r="V139" s="20"/>
      <x:c r="W139" s="20"/>
      <x:c r="X139" s="20"/>
      <x:c r="Y139" s="23"/>
      <x:c r="Z139" s="20"/>
      <x:c r="AA139" s="20"/>
      <x:c r="AB139" s="20"/>
      <x:c r="AC139" s="23"/>
    </x:row>
    <x:row r="140">
      <x:c r="A140" s="20"/>
      <x:c r="B140" s="20"/>
      <x:c r="C140" s="20"/>
      <x:c r="D140" s="23"/>
      <x:c r="E140" s="20"/>
      <x:c r="F140" s="20"/>
      <x:c r="G140" s="20"/>
      <x:c r="H140" s="20"/>
      <x:c r="I140" s="20"/>
      <x:c r="J140" s="20"/>
      <x:c r="K140" s="20"/>
      <x:c r="L140" s="20"/>
      <x:c r="M140" s="20"/>
      <x:c r="N140" s="20"/>
      <x:c r="O140" s="20"/>
      <x:c r="P140" s="23"/>
      <x:c r="Q140" s="23"/>
      <x:c r="R140" s="20"/>
      <x:c r="S140" s="20"/>
      <x:c r="T140" s="20"/>
      <x:c r="U140" s="20"/>
      <x:c r="V140" s="20"/>
      <x:c r="W140" s="20"/>
      <x:c r="X140" s="20"/>
      <x:c r="Y140" s="23"/>
      <x:c r="Z140" s="20"/>
      <x:c r="AA140" s="20"/>
      <x:c r="AB140" s="20"/>
      <x:c r="AC140" s="23"/>
    </x:row>
    <x:row r="141">
      <x:c r="A141" s="20"/>
      <x:c r="B141" s="20"/>
      <x:c r="C141" s="20"/>
      <x:c r="D141" s="23"/>
      <x:c r="E141" s="20"/>
      <x:c r="F141" s="20"/>
      <x:c r="G141" s="20"/>
      <x:c r="H141" s="20"/>
      <x:c r="I141" s="20"/>
      <x:c r="J141" s="20"/>
      <x:c r="K141" s="20"/>
      <x:c r="L141" s="20"/>
      <x:c r="M141" s="20"/>
      <x:c r="N141" s="20"/>
      <x:c r="O141" s="20"/>
      <x:c r="P141" s="23"/>
      <x:c r="Q141" s="23"/>
      <x:c r="R141" s="20"/>
      <x:c r="S141" s="20"/>
      <x:c r="T141" s="20"/>
      <x:c r="U141" s="20"/>
      <x:c r="V141" s="20"/>
      <x:c r="W141" s="20"/>
      <x:c r="X141" s="20"/>
      <x:c r="Y141" s="23"/>
      <x:c r="Z141" s="20"/>
      <x:c r="AA141" s="20"/>
      <x:c r="AB141" s="20"/>
      <x:c r="AC141" s="23"/>
    </x:row>
    <x:row r="142">
      <x:c r="A142" s="20"/>
      <x:c r="B142" s="20"/>
      <x:c r="C142" s="20"/>
      <x:c r="D142" s="23"/>
      <x:c r="E142" s="20"/>
      <x:c r="F142" s="20"/>
      <x:c r="G142" s="20"/>
      <x:c r="H142" s="20"/>
      <x:c r="I142" s="20"/>
      <x:c r="J142" s="20"/>
      <x:c r="K142" s="20"/>
      <x:c r="L142" s="20"/>
      <x:c r="M142" s="20"/>
      <x:c r="N142" s="20"/>
      <x:c r="O142" s="20"/>
      <x:c r="P142" s="23"/>
      <x:c r="Q142" s="23"/>
      <x:c r="R142" s="20"/>
      <x:c r="S142" s="20"/>
      <x:c r="T142" s="20"/>
      <x:c r="U142" s="20"/>
      <x:c r="V142" s="20"/>
      <x:c r="W142" s="20"/>
      <x:c r="X142" s="20"/>
      <x:c r="Y142" s="23"/>
      <x:c r="Z142" s="20"/>
      <x:c r="AA142" s="20"/>
      <x:c r="AB142" s="20"/>
      <x:c r="AC142" s="23"/>
    </x:row>
    <x:row r="143">
      <x:c r="A143" s="20"/>
      <x:c r="B143" s="20"/>
      <x:c r="C143" s="20"/>
      <x:c r="D143" s="23"/>
      <x:c r="E143" s="20"/>
      <x:c r="F143" s="20"/>
      <x:c r="G143" s="20"/>
      <x:c r="H143" s="20"/>
      <x:c r="I143" s="20"/>
      <x:c r="J143" s="20"/>
      <x:c r="K143" s="20"/>
      <x:c r="L143" s="20"/>
      <x:c r="M143" s="20"/>
      <x:c r="N143" s="20"/>
      <x:c r="O143" s="20"/>
      <x:c r="P143" s="23"/>
      <x:c r="Q143" s="23"/>
      <x:c r="R143" s="20"/>
      <x:c r="S143" s="20"/>
      <x:c r="T143" s="20"/>
      <x:c r="U143" s="20"/>
      <x:c r="V143" s="20"/>
      <x:c r="W143" s="20"/>
      <x:c r="X143" s="20"/>
      <x:c r="Y143" s="23"/>
      <x:c r="Z143" s="20"/>
      <x:c r="AA143" s="20"/>
      <x:c r="AB143" s="20"/>
      <x:c r="AC143" s="23"/>
    </x:row>
    <x:row r="144">
      <x:c r="A144" s="20"/>
      <x:c r="B144" s="20"/>
      <x:c r="C144" s="20"/>
      <x:c r="D144" s="23"/>
      <x:c r="E144" s="20"/>
      <x:c r="F144" s="20"/>
      <x:c r="G144" s="20"/>
      <x:c r="H144" s="20"/>
      <x:c r="I144" s="20"/>
      <x:c r="J144" s="20"/>
      <x:c r="K144" s="20"/>
      <x:c r="L144" s="20"/>
      <x:c r="M144" s="20"/>
      <x:c r="N144" s="20"/>
      <x:c r="O144" s="20"/>
      <x:c r="P144" s="23"/>
      <x:c r="Q144" s="23"/>
      <x:c r="R144" s="20"/>
      <x:c r="S144" s="20"/>
      <x:c r="T144" s="20"/>
      <x:c r="U144" s="20"/>
      <x:c r="V144" s="20"/>
      <x:c r="W144" s="20"/>
      <x:c r="X144" s="20"/>
      <x:c r="Y144" s="23"/>
      <x:c r="Z144" s="20"/>
      <x:c r="AA144" s="20"/>
      <x:c r="AB144" s="20"/>
      <x:c r="AC144" s="23"/>
    </x:row>
    <x:row r="145">
      <x:c r="A145" s="20"/>
      <x:c r="B145" s="20"/>
      <x:c r="C145" s="20"/>
      <x:c r="D145" s="23"/>
      <x:c r="E145" s="20"/>
      <x:c r="F145" s="20"/>
      <x:c r="G145" s="20"/>
      <x:c r="H145" s="20"/>
      <x:c r="I145" s="20"/>
      <x:c r="J145" s="20"/>
      <x:c r="K145" s="20"/>
      <x:c r="L145" s="20"/>
      <x:c r="M145" s="20"/>
      <x:c r="N145" s="20"/>
      <x:c r="O145" s="20"/>
      <x:c r="P145" s="23"/>
      <x:c r="Q145" s="23"/>
      <x:c r="R145" s="20"/>
      <x:c r="S145" s="20"/>
      <x:c r="T145" s="20"/>
      <x:c r="U145" s="20"/>
      <x:c r="V145" s="20"/>
      <x:c r="W145" s="20"/>
      <x:c r="X145" s="20"/>
      <x:c r="Y145" s="23"/>
      <x:c r="Z145" s="20"/>
      <x:c r="AA145" s="20"/>
      <x:c r="AB145" s="20"/>
      <x:c r="AC145" s="23"/>
    </x:row>
    <x:row r="146">
      <x:c r="A146" s="20"/>
      <x:c r="B146" s="20"/>
      <x:c r="C146" s="20"/>
      <x:c r="D146" s="23"/>
      <x:c r="E146" s="20"/>
      <x:c r="F146" s="20"/>
      <x:c r="G146" s="20"/>
      <x:c r="H146" s="20"/>
      <x:c r="I146" s="20"/>
      <x:c r="J146" s="20"/>
      <x:c r="K146" s="20"/>
      <x:c r="L146" s="20"/>
      <x:c r="M146" s="20"/>
      <x:c r="N146" s="20"/>
      <x:c r="O146" s="20"/>
      <x:c r="P146" s="23"/>
      <x:c r="Q146" s="23"/>
      <x:c r="R146" s="20"/>
      <x:c r="S146" s="20"/>
      <x:c r="T146" s="20"/>
      <x:c r="U146" s="20"/>
      <x:c r="V146" s="20"/>
      <x:c r="W146" s="20"/>
      <x:c r="X146" s="20"/>
      <x:c r="Y146" s="23"/>
      <x:c r="Z146" s="20"/>
      <x:c r="AA146" s="20"/>
      <x:c r="AB146" s="20"/>
      <x:c r="AC146" s="23"/>
    </x:row>
    <x:row r="147">
      <x:c r="A147" s="20"/>
      <x:c r="B147" s="20"/>
      <x:c r="C147" s="20"/>
      <x:c r="D147" s="23"/>
      <x:c r="E147" s="20"/>
      <x:c r="F147" s="20"/>
      <x:c r="G147" s="20"/>
      <x:c r="H147" s="20"/>
      <x:c r="I147" s="20"/>
      <x:c r="J147" s="20"/>
      <x:c r="K147" s="20"/>
      <x:c r="L147" s="20"/>
      <x:c r="M147" s="20"/>
      <x:c r="N147" s="20"/>
      <x:c r="O147" s="20"/>
      <x:c r="P147" s="23"/>
      <x:c r="Q147" s="23"/>
      <x:c r="R147" s="20"/>
      <x:c r="S147" s="20"/>
      <x:c r="T147" s="20"/>
      <x:c r="U147" s="20"/>
      <x:c r="V147" s="20"/>
      <x:c r="W147" s="20"/>
      <x:c r="X147" s="20"/>
      <x:c r="Y147" s="23"/>
      <x:c r="Z147" s="20"/>
      <x:c r="AA147" s="20"/>
      <x:c r="AB147" s="20"/>
      <x:c r="AC147" s="23"/>
    </x:row>
    <x:row r="148">
      <x:c r="A148" s="20"/>
      <x:c r="B148" s="20"/>
      <x:c r="C148" s="20"/>
      <x:c r="D148" s="23"/>
      <x:c r="E148" s="20"/>
      <x:c r="F148" s="20"/>
      <x:c r="G148" s="20"/>
      <x:c r="H148" s="20"/>
      <x:c r="I148" s="20"/>
      <x:c r="J148" s="20"/>
      <x:c r="K148" s="20"/>
      <x:c r="L148" s="20"/>
      <x:c r="M148" s="20"/>
      <x:c r="N148" s="20"/>
      <x:c r="O148" s="20"/>
      <x:c r="P148" s="23"/>
      <x:c r="Q148" s="23"/>
      <x:c r="R148" s="20"/>
      <x:c r="S148" s="20"/>
      <x:c r="T148" s="20"/>
      <x:c r="U148" s="20"/>
      <x:c r="V148" s="20"/>
      <x:c r="W148" s="20"/>
      <x:c r="X148" s="20"/>
      <x:c r="Y148" s="23"/>
      <x:c r="Z148" s="20"/>
      <x:c r="AA148" s="20"/>
      <x:c r="AB148" s="20"/>
      <x:c r="AC148" s="23"/>
    </x:row>
    <x:row r="149">
      <x:c r="A149" s="20"/>
      <x:c r="B149" s="20"/>
      <x:c r="C149" s="20"/>
      <x:c r="D149" s="23"/>
      <x:c r="E149" s="20"/>
      <x:c r="F149" s="20"/>
      <x:c r="G149" s="20"/>
      <x:c r="H149" s="20"/>
      <x:c r="I149" s="20"/>
      <x:c r="J149" s="20"/>
      <x:c r="K149" s="20"/>
      <x:c r="L149" s="20"/>
      <x:c r="M149" s="20"/>
      <x:c r="N149" s="20"/>
      <x:c r="O149" s="20"/>
      <x:c r="P149" s="23"/>
      <x:c r="Q149" s="23"/>
      <x:c r="R149" s="20"/>
      <x:c r="S149" s="20"/>
      <x:c r="T149" s="20"/>
      <x:c r="U149" s="20"/>
      <x:c r="V149" s="20"/>
      <x:c r="W149" s="20"/>
      <x:c r="X149" s="20"/>
      <x:c r="Y149" s="23"/>
      <x:c r="Z149" s="20"/>
      <x:c r="AA149" s="20"/>
      <x:c r="AB149" s="20"/>
      <x:c r="AC149" s="23"/>
    </x:row>
    <x:row r="150">
      <x:c r="A150" s="20"/>
      <x:c r="B150" s="20"/>
      <x:c r="C150" s="20"/>
      <x:c r="D150" s="23"/>
      <x:c r="E150" s="20"/>
      <x:c r="F150" s="20"/>
      <x:c r="G150" s="20"/>
      <x:c r="H150" s="20"/>
      <x:c r="I150" s="20"/>
      <x:c r="J150" s="20"/>
      <x:c r="K150" s="20"/>
      <x:c r="L150" s="20"/>
      <x:c r="M150" s="20"/>
      <x:c r="N150" s="20"/>
      <x:c r="O150" s="20"/>
      <x:c r="P150" s="23"/>
      <x:c r="Q150" s="23"/>
      <x:c r="R150" s="20"/>
      <x:c r="S150" s="20"/>
      <x:c r="T150" s="20"/>
      <x:c r="U150" s="20"/>
      <x:c r="V150" s="20"/>
      <x:c r="W150" s="20"/>
      <x:c r="X150" s="20"/>
      <x:c r="Y150" s="23"/>
      <x:c r="Z150" s="20"/>
      <x:c r="AA150" s="20"/>
      <x:c r="AB150" s="20"/>
      <x:c r="AC150" s="23"/>
    </x:row>
    <x:row r="151">
      <x:c r="A151" s="20"/>
      <x:c r="B151" s="20"/>
      <x:c r="C151" s="20"/>
      <x:c r="D151" s="23"/>
      <x:c r="E151" s="20"/>
      <x:c r="F151" s="20"/>
      <x:c r="G151" s="20"/>
      <x:c r="H151" s="20"/>
      <x:c r="I151" s="20"/>
      <x:c r="J151" s="20"/>
      <x:c r="K151" s="20"/>
      <x:c r="L151" s="20"/>
      <x:c r="M151" s="20"/>
      <x:c r="N151" s="20"/>
      <x:c r="O151" s="20"/>
      <x:c r="P151" s="23"/>
      <x:c r="Q151" s="23"/>
      <x:c r="R151" s="20"/>
      <x:c r="S151" s="20"/>
      <x:c r="T151" s="20"/>
      <x:c r="U151" s="20"/>
      <x:c r="V151" s="20"/>
      <x:c r="W151" s="20"/>
      <x:c r="X151" s="20"/>
      <x:c r="Y151" s="23"/>
      <x:c r="Z151" s="20"/>
      <x:c r="AA151" s="20"/>
      <x:c r="AB151" s="20"/>
      <x:c r="AC151" s="23"/>
    </x:row>
    <x:row r="152">
      <x:c r="A152" s="20"/>
      <x:c r="B152" s="20"/>
      <x:c r="C152" s="20"/>
      <x:c r="D152" s="23"/>
      <x:c r="E152" s="20"/>
      <x:c r="F152" s="20"/>
      <x:c r="G152" s="20"/>
      <x:c r="H152" s="20"/>
      <x:c r="I152" s="20"/>
      <x:c r="J152" s="20"/>
      <x:c r="K152" s="20"/>
      <x:c r="L152" s="20"/>
      <x:c r="M152" s="20"/>
      <x:c r="N152" s="20"/>
      <x:c r="O152" s="20"/>
      <x:c r="P152" s="23"/>
      <x:c r="Q152" s="23"/>
      <x:c r="R152" s="20"/>
      <x:c r="S152" s="20"/>
      <x:c r="T152" s="20"/>
      <x:c r="U152" s="20"/>
      <x:c r="V152" s="20"/>
      <x:c r="W152" s="20"/>
      <x:c r="X152" s="20"/>
      <x:c r="Y152" s="23"/>
      <x:c r="Z152" s="20"/>
      <x:c r="AA152" s="20"/>
      <x:c r="AB152" s="20"/>
      <x:c r="AC152" s="23"/>
    </x:row>
    <x:row r="153">
      <x:c r="A153" s="20"/>
      <x:c r="B153" s="20"/>
      <x:c r="C153" s="20"/>
      <x:c r="D153" s="23"/>
      <x:c r="E153" s="20"/>
      <x:c r="F153" s="20"/>
      <x:c r="G153" s="20"/>
      <x:c r="H153" s="20"/>
      <x:c r="I153" s="20"/>
      <x:c r="J153" s="20"/>
      <x:c r="K153" s="20"/>
      <x:c r="L153" s="20"/>
      <x:c r="M153" s="20"/>
      <x:c r="N153" s="20"/>
      <x:c r="O153" s="20"/>
      <x:c r="P153" s="23"/>
      <x:c r="Q153" s="23"/>
      <x:c r="R153" s="20"/>
      <x:c r="S153" s="20"/>
      <x:c r="T153" s="20"/>
      <x:c r="U153" s="20"/>
      <x:c r="V153" s="20"/>
      <x:c r="W153" s="20"/>
      <x:c r="X153" s="20"/>
      <x:c r="Y153" s="23"/>
      <x:c r="Z153" s="20"/>
      <x:c r="AA153" s="20"/>
      <x:c r="AB153" s="20"/>
      <x:c r="AC153" s="23"/>
    </x:row>
    <x:row r="154">
      <x:c r="A154" s="20"/>
      <x:c r="B154" s="20"/>
      <x:c r="C154" s="20"/>
      <x:c r="D154" s="23"/>
      <x:c r="E154" s="20"/>
      <x:c r="F154" s="20"/>
      <x:c r="G154" s="20"/>
      <x:c r="H154" s="20"/>
      <x:c r="I154" s="20"/>
      <x:c r="J154" s="20"/>
      <x:c r="K154" s="20"/>
      <x:c r="L154" s="20"/>
      <x:c r="M154" s="20"/>
      <x:c r="N154" s="20"/>
      <x:c r="O154" s="20"/>
      <x:c r="P154" s="23"/>
      <x:c r="Q154" s="23"/>
      <x:c r="R154" s="20"/>
      <x:c r="S154" s="20"/>
      <x:c r="T154" s="20"/>
      <x:c r="U154" s="20"/>
      <x:c r="V154" s="20"/>
      <x:c r="W154" s="20"/>
      <x:c r="X154" s="20"/>
      <x:c r="Y154" s="23"/>
      <x:c r="Z154" s="20"/>
      <x:c r="AA154" s="20"/>
      <x:c r="AB154" s="20"/>
      <x:c r="AC154" s="23"/>
    </x:row>
    <x:row r="155">
      <x:c r="A155" s="20"/>
      <x:c r="B155" s="20"/>
      <x:c r="C155" s="20"/>
      <x:c r="D155" s="23"/>
      <x:c r="E155" s="20"/>
      <x:c r="F155" s="20"/>
      <x:c r="G155" s="20"/>
      <x:c r="H155" s="20"/>
      <x:c r="I155" s="20"/>
      <x:c r="J155" s="20"/>
      <x:c r="K155" s="20"/>
      <x:c r="L155" s="20"/>
      <x:c r="M155" s="20"/>
      <x:c r="N155" s="20"/>
      <x:c r="O155" s="20"/>
      <x:c r="P155" s="23"/>
      <x:c r="Q155" s="23"/>
      <x:c r="R155" s="20"/>
      <x:c r="S155" s="20"/>
      <x:c r="T155" s="20"/>
      <x:c r="U155" s="20"/>
      <x:c r="V155" s="20"/>
      <x:c r="W155" s="20"/>
      <x:c r="X155" s="20"/>
      <x:c r="Y155" s="23"/>
      <x:c r="Z155" s="20"/>
      <x:c r="AA155" s="20"/>
      <x:c r="AB155" s="20"/>
      <x:c r="AC155" s="23"/>
    </x:row>
    <x:row r="156">
      <x:c r="A156" s="20"/>
      <x:c r="B156" s="20"/>
      <x:c r="C156" s="20"/>
      <x:c r="D156" s="23"/>
      <x:c r="E156" s="20"/>
      <x:c r="F156" s="20"/>
      <x:c r="G156" s="20"/>
      <x:c r="H156" s="20"/>
      <x:c r="I156" s="20"/>
      <x:c r="J156" s="20"/>
      <x:c r="K156" s="20"/>
      <x:c r="L156" s="20"/>
      <x:c r="M156" s="20"/>
      <x:c r="N156" s="20"/>
      <x:c r="O156" s="20"/>
      <x:c r="P156" s="23"/>
      <x:c r="Q156" s="23"/>
      <x:c r="R156" s="20"/>
      <x:c r="S156" s="20"/>
      <x:c r="T156" s="20"/>
      <x:c r="U156" s="20"/>
      <x:c r="V156" s="20"/>
      <x:c r="W156" s="20"/>
      <x:c r="X156" s="20"/>
      <x:c r="Y156" s="23"/>
      <x:c r="Z156" s="20"/>
      <x:c r="AA156" s="20"/>
      <x:c r="AB156" s="20"/>
      <x:c r="AC156" s="23"/>
    </x:row>
    <x:row r="157">
      <x:c r="A157" s="20"/>
      <x:c r="B157" s="20"/>
      <x:c r="C157" s="20"/>
      <x:c r="D157" s="23"/>
      <x:c r="E157" s="20"/>
      <x:c r="F157" s="20"/>
      <x:c r="G157" s="20"/>
      <x:c r="H157" s="20"/>
      <x:c r="I157" s="20"/>
      <x:c r="J157" s="20"/>
      <x:c r="K157" s="20"/>
      <x:c r="L157" s="20"/>
      <x:c r="M157" s="20"/>
      <x:c r="N157" s="20"/>
      <x:c r="O157" s="20"/>
      <x:c r="P157" s="23"/>
      <x:c r="Q157" s="23"/>
      <x:c r="R157" s="20"/>
      <x:c r="S157" s="20"/>
      <x:c r="T157" s="20"/>
      <x:c r="U157" s="20"/>
      <x:c r="V157" s="20"/>
      <x:c r="W157" s="20"/>
      <x:c r="X157" s="20"/>
      <x:c r="Y157" s="23"/>
      <x:c r="Z157" s="20"/>
      <x:c r="AA157" s="20"/>
      <x:c r="AB157" s="20"/>
      <x:c r="AC157" s="23"/>
    </x:row>
    <x:row r="158">
      <x:c r="A158" s="20"/>
      <x:c r="B158" s="20"/>
      <x:c r="C158" s="20"/>
      <x:c r="D158" s="23"/>
      <x:c r="E158" s="20"/>
      <x:c r="F158" s="20"/>
      <x:c r="G158" s="20"/>
      <x:c r="H158" s="20"/>
      <x:c r="I158" s="20"/>
      <x:c r="J158" s="20"/>
      <x:c r="K158" s="20"/>
      <x:c r="L158" s="20"/>
      <x:c r="M158" s="20"/>
      <x:c r="N158" s="20"/>
      <x:c r="O158" s="20"/>
      <x:c r="P158" s="23"/>
      <x:c r="Q158" s="23"/>
      <x:c r="R158" s="20"/>
      <x:c r="S158" s="20"/>
      <x:c r="T158" s="20"/>
      <x:c r="U158" s="20"/>
      <x:c r="V158" s="20"/>
      <x:c r="W158" s="20"/>
      <x:c r="X158" s="20"/>
      <x:c r="Y158" s="23"/>
      <x:c r="Z158" s="20"/>
      <x:c r="AA158" s="20"/>
      <x:c r="AB158" s="20"/>
      <x:c r="AC158" s="23"/>
    </x:row>
    <x:row r="159">
      <x:c r="A159" s="20"/>
      <x:c r="B159" s="20"/>
      <x:c r="C159" s="20"/>
      <x:c r="D159" s="23"/>
      <x:c r="E159" s="20"/>
      <x:c r="F159" s="20"/>
      <x:c r="G159" s="20"/>
      <x:c r="H159" s="20"/>
      <x:c r="I159" s="20"/>
      <x:c r="J159" s="20"/>
      <x:c r="K159" s="20"/>
      <x:c r="L159" s="20"/>
      <x:c r="M159" s="20"/>
      <x:c r="N159" s="20"/>
      <x:c r="O159" s="20"/>
      <x:c r="P159" s="23"/>
      <x:c r="Q159" s="23"/>
      <x:c r="R159" s="20"/>
      <x:c r="S159" s="20"/>
      <x:c r="T159" s="20"/>
      <x:c r="U159" s="20"/>
      <x:c r="V159" s="20"/>
      <x:c r="W159" s="20"/>
      <x:c r="X159" s="20"/>
      <x:c r="Y159" s="23"/>
      <x:c r="Z159" s="20"/>
      <x:c r="AA159" s="20"/>
      <x:c r="AB159" s="20"/>
      <x:c r="AC159" s="23"/>
    </x:row>
    <x:row r="160">
      <x:c r="A160" s="20"/>
      <x:c r="B160" s="20"/>
      <x:c r="C160" s="20"/>
      <x:c r="D160" s="23"/>
      <x:c r="E160" s="20"/>
      <x:c r="F160" s="20"/>
      <x:c r="G160" s="20"/>
      <x:c r="H160" s="20"/>
      <x:c r="I160" s="20"/>
      <x:c r="J160" s="20"/>
      <x:c r="K160" s="20"/>
      <x:c r="L160" s="20"/>
      <x:c r="M160" s="20"/>
      <x:c r="N160" s="20"/>
      <x:c r="O160" s="20"/>
      <x:c r="P160" s="23"/>
      <x:c r="Q160" s="23"/>
      <x:c r="R160" s="20"/>
      <x:c r="S160" s="20"/>
      <x:c r="T160" s="20"/>
      <x:c r="U160" s="20"/>
      <x:c r="V160" s="20"/>
      <x:c r="W160" s="20"/>
      <x:c r="X160" s="20"/>
      <x:c r="Y160" s="23"/>
      <x:c r="Z160" s="20"/>
      <x:c r="AA160" s="20"/>
      <x:c r="AB160" s="20"/>
      <x:c r="AC160" s="23"/>
    </x:row>
    <x:row r="161">
      <x:c r="A161" s="20"/>
      <x:c r="B161" s="20"/>
      <x:c r="C161" s="20"/>
      <x:c r="D161" s="23"/>
      <x:c r="E161" s="20"/>
      <x:c r="F161" s="20"/>
      <x:c r="G161" s="20"/>
      <x:c r="H161" s="20"/>
      <x:c r="I161" s="20"/>
      <x:c r="J161" s="20"/>
      <x:c r="K161" s="20"/>
      <x:c r="L161" s="20"/>
      <x:c r="M161" s="20"/>
      <x:c r="N161" s="20"/>
      <x:c r="O161" s="20"/>
      <x:c r="P161" s="23"/>
      <x:c r="Q161" s="23"/>
      <x:c r="R161" s="20"/>
      <x:c r="S161" s="20"/>
      <x:c r="T161" s="20"/>
      <x:c r="U161" s="20"/>
      <x:c r="V161" s="20"/>
      <x:c r="W161" s="20"/>
      <x:c r="X161" s="20"/>
      <x:c r="Y161" s="23"/>
      <x:c r="Z161" s="20"/>
      <x:c r="AA161" s="20"/>
      <x:c r="AB161" s="20"/>
      <x:c r="AC161" s="23"/>
    </x:row>
    <x:row r="162">
      <x:c r="A162" s="20"/>
      <x:c r="B162" s="20"/>
      <x:c r="C162" s="20"/>
      <x:c r="D162" s="23"/>
      <x:c r="E162" s="20"/>
      <x:c r="F162" s="20"/>
      <x:c r="G162" s="20"/>
      <x:c r="H162" s="20"/>
      <x:c r="I162" s="20"/>
      <x:c r="J162" s="20"/>
      <x:c r="K162" s="20"/>
      <x:c r="L162" s="20"/>
      <x:c r="M162" s="20"/>
      <x:c r="N162" s="20"/>
      <x:c r="O162" s="20"/>
      <x:c r="P162" s="23"/>
      <x:c r="Q162" s="23"/>
      <x:c r="R162" s="20"/>
      <x:c r="S162" s="20"/>
      <x:c r="T162" s="20"/>
      <x:c r="U162" s="20"/>
      <x:c r="V162" s="20"/>
      <x:c r="W162" s="20"/>
      <x:c r="X162" s="20"/>
      <x:c r="Y162" s="23"/>
      <x:c r="Z162" s="20"/>
      <x:c r="AA162" s="20"/>
      <x:c r="AB162" s="20"/>
      <x:c r="AC162" s="23"/>
    </x:row>
    <x:row r="163">
      <x:c r="A163" s="20"/>
      <x:c r="B163" s="20"/>
      <x:c r="C163" s="20"/>
      <x:c r="D163" s="23"/>
      <x:c r="E163" s="20"/>
      <x:c r="F163" s="20"/>
      <x:c r="G163" s="20"/>
      <x:c r="H163" s="20"/>
      <x:c r="I163" s="20"/>
      <x:c r="J163" s="20"/>
      <x:c r="K163" s="20"/>
      <x:c r="L163" s="20"/>
      <x:c r="M163" s="20"/>
      <x:c r="N163" s="20"/>
      <x:c r="O163" s="20"/>
      <x:c r="P163" s="23"/>
      <x:c r="Q163" s="23"/>
      <x:c r="R163" s="20"/>
      <x:c r="S163" s="20"/>
      <x:c r="T163" s="20"/>
      <x:c r="U163" s="20"/>
      <x:c r="V163" s="20"/>
      <x:c r="W163" s="20"/>
      <x:c r="X163" s="20"/>
      <x:c r="Y163" s="23"/>
      <x:c r="Z163" s="20"/>
      <x:c r="AA163" s="20"/>
      <x:c r="AB163" s="20"/>
      <x:c r="AC163" s="23"/>
    </x:row>
    <x:row r="164">
      <x:c r="A164" s="20"/>
      <x:c r="B164" s="20"/>
      <x:c r="C164" s="20"/>
      <x:c r="D164" s="23"/>
      <x:c r="E164" s="20"/>
      <x:c r="F164" s="20"/>
      <x:c r="G164" s="20"/>
      <x:c r="H164" s="20"/>
      <x:c r="I164" s="20"/>
      <x:c r="J164" s="20"/>
      <x:c r="K164" s="20"/>
      <x:c r="L164" s="20"/>
      <x:c r="M164" s="20"/>
      <x:c r="N164" s="20"/>
      <x:c r="O164" s="20"/>
      <x:c r="P164" s="23"/>
      <x:c r="Q164" s="23"/>
      <x:c r="R164" s="20"/>
      <x:c r="S164" s="20"/>
      <x:c r="T164" s="20"/>
      <x:c r="U164" s="20"/>
      <x:c r="V164" s="20"/>
      <x:c r="W164" s="20"/>
      <x:c r="X164" s="20"/>
      <x:c r="Y164" s="23"/>
      <x:c r="Z164" s="20"/>
      <x:c r="AA164" s="20"/>
      <x:c r="AB164" s="20"/>
      <x:c r="AC164" s="23"/>
    </x:row>
    <x:row r="165">
      <x:c r="A165" s="20"/>
      <x:c r="B165" s="20"/>
      <x:c r="C165" s="20"/>
      <x:c r="D165" s="23"/>
      <x:c r="E165" s="20"/>
      <x:c r="F165" s="20"/>
      <x:c r="G165" s="20"/>
      <x:c r="H165" s="20"/>
      <x:c r="I165" s="20"/>
      <x:c r="J165" s="20"/>
      <x:c r="K165" s="20"/>
      <x:c r="L165" s="20"/>
      <x:c r="M165" s="20"/>
      <x:c r="N165" s="20"/>
      <x:c r="O165" s="20"/>
      <x:c r="P165" s="23"/>
      <x:c r="Q165" s="23"/>
      <x:c r="R165" s="20"/>
      <x:c r="S165" s="20"/>
      <x:c r="T165" s="20"/>
      <x:c r="U165" s="20"/>
      <x:c r="V165" s="20"/>
      <x:c r="W165" s="20"/>
      <x:c r="X165" s="20"/>
      <x:c r="Y165" s="23"/>
      <x:c r="Z165" s="20"/>
      <x:c r="AA165" s="20"/>
      <x:c r="AB165" s="20"/>
      <x:c r="AC165" s="23"/>
    </x:row>
    <x:row r="166">
      <x:c r="A166" s="20"/>
      <x:c r="B166" s="20"/>
      <x:c r="C166" s="20"/>
      <x:c r="D166" s="23"/>
      <x:c r="E166" s="20"/>
      <x:c r="F166" s="20"/>
      <x:c r="G166" s="20"/>
      <x:c r="H166" s="20"/>
      <x:c r="I166" s="20"/>
      <x:c r="J166" s="20"/>
      <x:c r="K166" s="20"/>
      <x:c r="L166" s="20"/>
      <x:c r="M166" s="20"/>
      <x:c r="N166" s="20"/>
      <x:c r="O166" s="20"/>
      <x:c r="P166" s="23"/>
      <x:c r="Q166" s="23"/>
      <x:c r="R166" s="20"/>
      <x:c r="S166" s="20"/>
      <x:c r="T166" s="20"/>
      <x:c r="U166" s="20"/>
      <x:c r="V166" s="20"/>
      <x:c r="W166" s="20"/>
      <x:c r="X166" s="20"/>
      <x:c r="Y166" s="23"/>
      <x:c r="Z166" s="20"/>
      <x:c r="AA166" s="20"/>
      <x:c r="AB166" s="20"/>
      <x:c r="AC166" s="23"/>
    </x:row>
    <x:row r="167">
      <x:c r="A167" s="20"/>
      <x:c r="B167" s="20"/>
      <x:c r="C167" s="20"/>
      <x:c r="D167" s="23"/>
      <x:c r="E167" s="20"/>
      <x:c r="F167" s="20"/>
      <x:c r="G167" s="20"/>
      <x:c r="H167" s="20"/>
      <x:c r="I167" s="20"/>
      <x:c r="J167" s="20"/>
      <x:c r="K167" s="20"/>
      <x:c r="L167" s="20"/>
      <x:c r="M167" s="20"/>
      <x:c r="N167" s="20"/>
      <x:c r="O167" s="20"/>
      <x:c r="P167" s="23"/>
      <x:c r="Q167" s="23"/>
      <x:c r="R167" s="20"/>
      <x:c r="S167" s="20"/>
      <x:c r="T167" s="20"/>
      <x:c r="U167" s="20"/>
      <x:c r="V167" s="20"/>
      <x:c r="W167" s="20"/>
      <x:c r="X167" s="20"/>
      <x:c r="Y167" s="23"/>
      <x:c r="Z167" s="20"/>
      <x:c r="AA167" s="20"/>
      <x:c r="AB167" s="20"/>
      <x:c r="AC167" s="23"/>
    </x:row>
    <x:row r="168">
      <x:c r="A168" s="20"/>
      <x:c r="B168" s="20"/>
      <x:c r="C168" s="20"/>
      <x:c r="D168" s="23"/>
      <x:c r="E168" s="20"/>
      <x:c r="F168" s="20"/>
      <x:c r="G168" s="20"/>
      <x:c r="H168" s="20"/>
      <x:c r="I168" s="20"/>
      <x:c r="J168" s="20"/>
      <x:c r="K168" s="20"/>
      <x:c r="L168" s="20"/>
      <x:c r="M168" s="20"/>
      <x:c r="N168" s="20"/>
      <x:c r="O168" s="20"/>
      <x:c r="P168" s="23"/>
      <x:c r="Q168" s="23"/>
      <x:c r="R168" s="20"/>
      <x:c r="S168" s="20"/>
      <x:c r="T168" s="20"/>
      <x:c r="U168" s="20"/>
      <x:c r="V168" s="20"/>
      <x:c r="W168" s="20"/>
      <x:c r="X168" s="20"/>
      <x:c r="Y168" s="23"/>
      <x:c r="Z168" s="20"/>
      <x:c r="AA168" s="20"/>
      <x:c r="AB168" s="20"/>
      <x:c r="AC168" s="23"/>
    </x:row>
    <x:row r="169">
      <x:c r="A169" s="20"/>
      <x:c r="B169" s="20"/>
      <x:c r="C169" s="20"/>
      <x:c r="D169" s="23"/>
      <x:c r="E169" s="20"/>
      <x:c r="F169" s="20"/>
      <x:c r="G169" s="20"/>
      <x:c r="H169" s="20"/>
      <x:c r="I169" s="20"/>
      <x:c r="J169" s="20"/>
      <x:c r="K169" s="20"/>
      <x:c r="L169" s="20"/>
      <x:c r="M169" s="20"/>
      <x:c r="N169" s="20"/>
      <x:c r="O169" s="20"/>
      <x:c r="P169" s="23"/>
      <x:c r="Q169" s="23"/>
      <x:c r="R169" s="20"/>
      <x:c r="S169" s="20"/>
      <x:c r="T169" s="20"/>
      <x:c r="U169" s="20"/>
      <x:c r="V169" s="20"/>
      <x:c r="W169" s="20"/>
      <x:c r="X169" s="20"/>
      <x:c r="Y169" s="23"/>
      <x:c r="Z169" s="20"/>
      <x:c r="AA169" s="20"/>
      <x:c r="AB169" s="20"/>
      <x:c r="AC169" s="23"/>
    </x:row>
    <x:row r="170">
      <x:c r="A170" s="20"/>
      <x:c r="B170" s="20"/>
      <x:c r="C170" s="20"/>
      <x:c r="D170" s="23"/>
      <x:c r="E170" s="20"/>
      <x:c r="F170" s="20"/>
      <x:c r="G170" s="20"/>
      <x:c r="H170" s="20"/>
      <x:c r="I170" s="20"/>
      <x:c r="J170" s="20"/>
      <x:c r="K170" s="20"/>
      <x:c r="L170" s="20"/>
      <x:c r="M170" s="20"/>
      <x:c r="N170" s="20"/>
      <x:c r="O170" s="20"/>
      <x:c r="P170" s="23"/>
      <x:c r="Q170" s="23"/>
      <x:c r="R170" s="20"/>
      <x:c r="S170" s="20"/>
      <x:c r="T170" s="20"/>
      <x:c r="U170" s="20"/>
      <x:c r="V170" s="20"/>
      <x:c r="W170" s="20"/>
      <x:c r="X170" s="20"/>
      <x:c r="Y170" s="23"/>
      <x:c r="Z170" s="20"/>
      <x:c r="AA170" s="20"/>
      <x:c r="AB170" s="20"/>
      <x:c r="AC170" s="23"/>
    </x:row>
    <x:row r="171">
      <x:c r="A171" s="20"/>
      <x:c r="B171" s="20"/>
      <x:c r="C171" s="20"/>
      <x:c r="D171" s="23"/>
      <x:c r="E171" s="20"/>
      <x:c r="F171" s="20"/>
      <x:c r="G171" s="20"/>
      <x:c r="H171" s="20"/>
      <x:c r="I171" s="20"/>
      <x:c r="J171" s="20"/>
      <x:c r="K171" s="20"/>
      <x:c r="L171" s="20"/>
      <x:c r="M171" s="20"/>
      <x:c r="N171" s="20"/>
      <x:c r="O171" s="20"/>
      <x:c r="P171" s="23"/>
      <x:c r="Q171" s="23"/>
      <x:c r="R171" s="20"/>
      <x:c r="S171" s="20"/>
      <x:c r="T171" s="20"/>
      <x:c r="U171" s="20"/>
      <x:c r="V171" s="20"/>
      <x:c r="W171" s="20"/>
      <x:c r="X171" s="20"/>
      <x:c r="Y171" s="23"/>
      <x:c r="Z171" s="20"/>
      <x:c r="AA171" s="20"/>
      <x:c r="AB171" s="20"/>
      <x:c r="AC171" s="23"/>
    </x:row>
    <x:row r="172">
      <x:c r="A172" s="20"/>
      <x:c r="B172" s="20"/>
      <x:c r="C172" s="20"/>
      <x:c r="D172" s="23"/>
      <x:c r="E172" s="20"/>
      <x:c r="F172" s="20"/>
      <x:c r="G172" s="20"/>
      <x:c r="H172" s="20"/>
      <x:c r="I172" s="20"/>
      <x:c r="J172" s="20"/>
      <x:c r="K172" s="20"/>
      <x:c r="L172" s="20"/>
      <x:c r="M172" s="20"/>
      <x:c r="N172" s="20"/>
      <x:c r="O172" s="20"/>
      <x:c r="P172" s="23"/>
      <x:c r="Q172" s="23"/>
      <x:c r="R172" s="20"/>
      <x:c r="S172" s="20"/>
      <x:c r="T172" s="20"/>
      <x:c r="U172" s="20"/>
      <x:c r="V172" s="20"/>
      <x:c r="W172" s="20"/>
      <x:c r="X172" s="20"/>
      <x:c r="Y172" s="23"/>
      <x:c r="Z172" s="20"/>
      <x:c r="AA172" s="20"/>
      <x:c r="AB172" s="20"/>
      <x:c r="AC172" s="23"/>
    </x:row>
    <x:row r="173">
      <x:c r="A173" s="20"/>
      <x:c r="B173" s="20"/>
      <x:c r="C173" s="20"/>
      <x:c r="D173" s="23"/>
      <x:c r="E173" s="20"/>
      <x:c r="F173" s="20"/>
      <x:c r="G173" s="20"/>
      <x:c r="H173" s="20"/>
      <x:c r="I173" s="20"/>
      <x:c r="J173" s="20"/>
      <x:c r="K173" s="20"/>
      <x:c r="L173" s="20"/>
      <x:c r="M173" s="20"/>
      <x:c r="N173" s="20"/>
      <x:c r="O173" s="20"/>
      <x:c r="P173" s="23"/>
      <x:c r="Q173" s="23"/>
      <x:c r="R173" s="20"/>
      <x:c r="S173" s="20"/>
      <x:c r="T173" s="20"/>
      <x:c r="U173" s="20"/>
      <x:c r="V173" s="20"/>
      <x:c r="W173" s="20"/>
      <x:c r="X173" s="20"/>
      <x:c r="Y173" s="23"/>
      <x:c r="Z173" s="20"/>
      <x:c r="AA173" s="20"/>
      <x:c r="AB173" s="20"/>
      <x:c r="AC173" s="23"/>
    </x:row>
    <x:row r="174">
      <x:c r="A174" s="20"/>
      <x:c r="B174" s="20"/>
      <x:c r="C174" s="20"/>
      <x:c r="D174" s="23"/>
      <x:c r="E174" s="20"/>
      <x:c r="F174" s="20"/>
      <x:c r="G174" s="20"/>
      <x:c r="H174" s="20"/>
      <x:c r="I174" s="20"/>
      <x:c r="J174" s="20"/>
      <x:c r="K174" s="20"/>
      <x:c r="L174" s="20"/>
      <x:c r="M174" s="20"/>
      <x:c r="N174" s="20"/>
      <x:c r="O174" s="20"/>
      <x:c r="P174" s="23"/>
      <x:c r="Q174" s="23"/>
      <x:c r="R174" s="20"/>
      <x:c r="S174" s="20"/>
      <x:c r="T174" s="20"/>
      <x:c r="U174" s="20"/>
      <x:c r="V174" s="20"/>
      <x:c r="W174" s="20"/>
      <x:c r="X174" s="20"/>
      <x:c r="Y174" s="23"/>
      <x:c r="Z174" s="20"/>
      <x:c r="AA174" s="20"/>
      <x:c r="AB174" s="20"/>
      <x:c r="AC174" s="23"/>
    </x:row>
    <x:row r="175">
      <x:c r="A175" s="20"/>
      <x:c r="B175" s="20"/>
      <x:c r="C175" s="20"/>
      <x:c r="D175" s="23"/>
      <x:c r="E175" s="20"/>
      <x:c r="F175" s="20"/>
      <x:c r="G175" s="20"/>
      <x:c r="H175" s="20"/>
      <x:c r="I175" s="20"/>
      <x:c r="J175" s="20"/>
      <x:c r="K175" s="20"/>
      <x:c r="L175" s="20"/>
      <x:c r="M175" s="20"/>
      <x:c r="N175" s="20"/>
      <x:c r="O175" s="20"/>
      <x:c r="P175" s="23"/>
      <x:c r="Q175" s="23"/>
      <x:c r="R175" s="20"/>
      <x:c r="S175" s="20"/>
      <x:c r="T175" s="20"/>
      <x:c r="U175" s="20"/>
      <x:c r="V175" s="20"/>
      <x:c r="W175" s="20"/>
      <x:c r="X175" s="20"/>
      <x:c r="Y175" s="23"/>
      <x:c r="Z175" s="20"/>
      <x:c r="AA175" s="20"/>
      <x:c r="AB175" s="20"/>
      <x:c r="AC175" s="23"/>
    </x:row>
    <x:row r="176">
      <x:c r="A176" s="20"/>
      <x:c r="B176" s="20"/>
      <x:c r="C176" s="20"/>
      <x:c r="D176" s="23"/>
      <x:c r="E176" s="20"/>
      <x:c r="F176" s="20"/>
      <x:c r="G176" s="20"/>
      <x:c r="H176" s="20"/>
      <x:c r="I176" s="20"/>
      <x:c r="J176" s="20"/>
      <x:c r="K176" s="20"/>
      <x:c r="L176" s="20"/>
      <x:c r="M176" s="20"/>
      <x:c r="N176" s="20"/>
      <x:c r="O176" s="20"/>
      <x:c r="P176" s="23"/>
      <x:c r="Q176" s="23"/>
      <x:c r="R176" s="20"/>
      <x:c r="S176" s="20"/>
      <x:c r="T176" s="20"/>
      <x:c r="U176" s="20"/>
      <x:c r="V176" s="20"/>
      <x:c r="W176" s="20"/>
      <x:c r="X176" s="20"/>
      <x:c r="Y176" s="23"/>
      <x:c r="Z176" s="20"/>
      <x:c r="AA176" s="20"/>
      <x:c r="AB176" s="20"/>
      <x:c r="AC176" s="23"/>
    </x:row>
    <x:row r="177">
      <x:c r="A177" s="20"/>
      <x:c r="B177" s="20"/>
      <x:c r="C177" s="20"/>
      <x:c r="D177" s="23"/>
      <x:c r="E177" s="20"/>
      <x:c r="F177" s="20"/>
      <x:c r="G177" s="20"/>
      <x:c r="H177" s="20"/>
      <x:c r="I177" s="20"/>
      <x:c r="J177" s="20"/>
      <x:c r="K177" s="20"/>
      <x:c r="L177" s="20"/>
      <x:c r="M177" s="20"/>
      <x:c r="N177" s="20"/>
      <x:c r="O177" s="20"/>
      <x:c r="P177" s="23"/>
      <x:c r="Q177" s="23"/>
      <x:c r="R177" s="20"/>
      <x:c r="S177" s="20"/>
      <x:c r="T177" s="20"/>
      <x:c r="U177" s="20"/>
      <x:c r="V177" s="20"/>
      <x:c r="W177" s="20"/>
      <x:c r="X177" s="20"/>
      <x:c r="Y177" s="23"/>
      <x:c r="Z177" s="20"/>
      <x:c r="AA177" s="20"/>
      <x:c r="AB177" s="20"/>
      <x:c r="AC177" s="23"/>
    </x:row>
    <x:row r="178">
      <x:c r="A178" s="20"/>
      <x:c r="B178" s="20"/>
      <x:c r="C178" s="20"/>
      <x:c r="D178" s="23"/>
      <x:c r="E178" s="20"/>
      <x:c r="F178" s="20"/>
      <x:c r="G178" s="20"/>
      <x:c r="H178" s="20"/>
      <x:c r="I178" s="20"/>
      <x:c r="J178" s="20"/>
      <x:c r="K178" s="20"/>
      <x:c r="L178" s="20"/>
      <x:c r="M178" s="20"/>
      <x:c r="N178" s="20"/>
      <x:c r="O178" s="20"/>
      <x:c r="P178" s="23"/>
      <x:c r="Q178" s="23"/>
      <x:c r="R178" s="20"/>
      <x:c r="S178" s="20"/>
      <x:c r="T178" s="20"/>
      <x:c r="U178" s="20"/>
      <x:c r="V178" s="20"/>
      <x:c r="W178" s="20"/>
      <x:c r="X178" s="20"/>
      <x:c r="Y178" s="23"/>
      <x:c r="Z178" s="20"/>
      <x:c r="AA178" s="20"/>
      <x:c r="AB178" s="20"/>
      <x:c r="AC178" s="23"/>
    </x:row>
    <x:row r="179">
      <x:c r="A179" s="20"/>
      <x:c r="B179" s="20"/>
      <x:c r="C179" s="20"/>
      <x:c r="D179" s="23"/>
      <x:c r="E179" s="20"/>
      <x:c r="F179" s="20"/>
      <x:c r="G179" s="20"/>
      <x:c r="H179" s="20"/>
      <x:c r="I179" s="20"/>
      <x:c r="J179" s="20"/>
      <x:c r="K179" s="20"/>
      <x:c r="L179" s="20"/>
      <x:c r="M179" s="20"/>
      <x:c r="N179" s="20"/>
      <x:c r="O179" s="20"/>
      <x:c r="P179" s="23"/>
      <x:c r="Q179" s="23"/>
      <x:c r="R179" s="20"/>
      <x:c r="S179" s="20"/>
      <x:c r="T179" s="20"/>
      <x:c r="U179" s="20"/>
      <x:c r="V179" s="20"/>
      <x:c r="W179" s="20"/>
      <x:c r="X179" s="20"/>
      <x:c r="Y179" s="23"/>
      <x:c r="Z179" s="20"/>
      <x:c r="AA179" s="20"/>
      <x:c r="AB179" s="20"/>
      <x:c r="AC179" s="23"/>
    </x:row>
    <x:row r="180">
      <x:c r="A180" s="20"/>
      <x:c r="B180" s="20"/>
      <x:c r="C180" s="20"/>
      <x:c r="D180" s="23"/>
      <x:c r="E180" s="20"/>
      <x:c r="F180" s="20"/>
      <x:c r="G180" s="20"/>
      <x:c r="H180" s="20"/>
      <x:c r="I180" s="20"/>
      <x:c r="J180" s="20"/>
      <x:c r="K180" s="20"/>
      <x:c r="L180" s="20"/>
      <x:c r="M180" s="20"/>
      <x:c r="N180" s="20"/>
      <x:c r="O180" s="20"/>
      <x:c r="P180" s="23"/>
      <x:c r="Q180" s="23"/>
      <x:c r="R180" s="20"/>
      <x:c r="S180" s="20"/>
      <x:c r="T180" s="20"/>
      <x:c r="U180" s="20"/>
      <x:c r="V180" s="20"/>
      <x:c r="W180" s="20"/>
      <x:c r="X180" s="20"/>
      <x:c r="Y180" s="23"/>
      <x:c r="Z180" s="20"/>
      <x:c r="AA180" s="20"/>
      <x:c r="AB180" s="20"/>
      <x:c r="AC180" s="23"/>
    </x:row>
    <x:row r="181">
      <x:c r="A181" s="20"/>
      <x:c r="B181" s="20"/>
      <x:c r="C181" s="20"/>
      <x:c r="D181" s="23"/>
      <x:c r="E181" s="20"/>
      <x:c r="F181" s="20"/>
      <x:c r="G181" s="20"/>
      <x:c r="H181" s="20"/>
      <x:c r="I181" s="20"/>
      <x:c r="J181" s="20"/>
      <x:c r="K181" s="20"/>
      <x:c r="L181" s="20"/>
      <x:c r="M181" s="20"/>
      <x:c r="N181" s="20"/>
      <x:c r="O181" s="20"/>
      <x:c r="P181" s="23"/>
      <x:c r="Q181" s="23"/>
      <x:c r="R181" s="20"/>
      <x:c r="S181" s="20"/>
      <x:c r="T181" s="20"/>
      <x:c r="U181" s="20"/>
      <x:c r="V181" s="20"/>
      <x:c r="W181" s="20"/>
      <x:c r="X181" s="20"/>
      <x:c r="Y181" s="23"/>
      <x:c r="Z181" s="20"/>
      <x:c r="AA181" s="20"/>
      <x:c r="AB181" s="20"/>
      <x:c r="AC181" s="23"/>
    </x:row>
    <x:row r="182">
      <x:c r="A182" s="20"/>
      <x:c r="B182" s="20"/>
      <x:c r="C182" s="20"/>
      <x:c r="D182" s="23"/>
      <x:c r="E182" s="20"/>
      <x:c r="F182" s="20"/>
      <x:c r="G182" s="20"/>
      <x:c r="H182" s="20"/>
      <x:c r="I182" s="20"/>
      <x:c r="J182" s="20"/>
      <x:c r="K182" s="20"/>
      <x:c r="L182" s="20"/>
      <x:c r="M182" s="20"/>
      <x:c r="N182" s="20"/>
      <x:c r="O182" s="20"/>
      <x:c r="P182" s="23"/>
      <x:c r="Q182" s="23"/>
      <x:c r="R182" s="20"/>
      <x:c r="S182" s="20"/>
      <x:c r="T182" s="20"/>
      <x:c r="U182" s="20"/>
      <x:c r="V182" s="20"/>
      <x:c r="W182" s="20"/>
      <x:c r="X182" s="20"/>
      <x:c r="Y182" s="23"/>
      <x:c r="Z182" s="20"/>
      <x:c r="AA182" s="20"/>
      <x:c r="AB182" s="20"/>
      <x:c r="AC182" s="23"/>
    </x:row>
    <x:row r="183">
      <x:c r="A183" s="20"/>
      <x:c r="B183" s="20"/>
      <x:c r="C183" s="20"/>
      <x:c r="D183" s="23"/>
      <x:c r="E183" s="20"/>
      <x:c r="F183" s="20"/>
      <x:c r="G183" s="20"/>
      <x:c r="H183" s="20"/>
      <x:c r="I183" s="20"/>
      <x:c r="J183" s="20"/>
      <x:c r="K183" s="20"/>
      <x:c r="L183" s="20"/>
      <x:c r="M183" s="20"/>
      <x:c r="N183" s="20"/>
      <x:c r="O183" s="20"/>
      <x:c r="P183" s="23"/>
      <x:c r="Q183" s="23"/>
      <x:c r="R183" s="20"/>
      <x:c r="S183" s="20"/>
      <x:c r="T183" s="20"/>
      <x:c r="U183" s="20"/>
      <x:c r="V183" s="20"/>
      <x:c r="W183" s="20"/>
      <x:c r="X183" s="20"/>
      <x:c r="Y183" s="23"/>
      <x:c r="Z183" s="20"/>
      <x:c r="AA183" s="20"/>
      <x:c r="AB183" s="20"/>
      <x:c r="AC183" s="23"/>
    </x:row>
    <x:row r="184">
      <x:c r="A184" s="20"/>
      <x:c r="B184" s="20"/>
      <x:c r="C184" s="20"/>
      <x:c r="D184" s="23"/>
      <x:c r="E184" s="20"/>
      <x:c r="F184" s="20"/>
      <x:c r="G184" s="20"/>
      <x:c r="H184" s="20"/>
      <x:c r="I184" s="20"/>
      <x:c r="J184" s="20"/>
      <x:c r="K184" s="20"/>
      <x:c r="L184" s="20"/>
      <x:c r="M184" s="20"/>
      <x:c r="N184" s="20"/>
      <x:c r="O184" s="20"/>
      <x:c r="P184" s="23"/>
      <x:c r="Q184" s="23"/>
      <x:c r="R184" s="20"/>
      <x:c r="S184" s="20"/>
      <x:c r="T184" s="20"/>
      <x:c r="U184" s="20"/>
      <x:c r="V184" s="20"/>
      <x:c r="W184" s="20"/>
      <x:c r="X184" s="20"/>
      <x:c r="Y184" s="23"/>
      <x:c r="Z184" s="20"/>
      <x:c r="AA184" s="20"/>
      <x:c r="AB184" s="20"/>
      <x:c r="AC184" s="23"/>
    </x:row>
    <x:row r="185">
      <x:c r="A185" s="20"/>
      <x:c r="B185" s="20"/>
      <x:c r="C185" s="20"/>
      <x:c r="D185" s="23"/>
      <x:c r="E185" s="20"/>
      <x:c r="F185" s="20"/>
      <x:c r="G185" s="20"/>
      <x:c r="H185" s="20"/>
      <x:c r="I185" s="20"/>
      <x:c r="J185" s="20"/>
      <x:c r="K185" s="20"/>
      <x:c r="L185" s="20"/>
      <x:c r="M185" s="20"/>
      <x:c r="N185" s="20"/>
      <x:c r="O185" s="20"/>
      <x:c r="P185" s="23"/>
      <x:c r="Q185" s="23"/>
      <x:c r="R185" s="20"/>
      <x:c r="S185" s="20"/>
      <x:c r="T185" s="20"/>
      <x:c r="U185" s="20"/>
      <x:c r="V185" s="20"/>
      <x:c r="W185" s="20"/>
      <x:c r="X185" s="20"/>
      <x:c r="Y185" s="23"/>
      <x:c r="Z185" s="20"/>
      <x:c r="AA185" s="20"/>
      <x:c r="AB185" s="20"/>
      <x:c r="AC185" s="23"/>
    </x:row>
    <x:row r="186">
      <x:c r="A186" s="20"/>
      <x:c r="B186" s="20"/>
      <x:c r="C186" s="20"/>
      <x:c r="D186" s="23"/>
      <x:c r="E186" s="20"/>
      <x:c r="F186" s="20"/>
      <x:c r="G186" s="20"/>
      <x:c r="H186" s="20"/>
      <x:c r="I186" s="20"/>
      <x:c r="J186" s="20"/>
      <x:c r="K186" s="20"/>
      <x:c r="L186" s="20"/>
      <x:c r="M186" s="20"/>
      <x:c r="N186" s="20"/>
      <x:c r="O186" s="20"/>
      <x:c r="P186" s="23"/>
      <x:c r="Q186" s="23"/>
      <x:c r="R186" s="20"/>
      <x:c r="S186" s="20"/>
      <x:c r="T186" s="20"/>
      <x:c r="U186" s="20"/>
      <x:c r="V186" s="20"/>
      <x:c r="W186" s="20"/>
      <x:c r="X186" s="20"/>
      <x:c r="Y186" s="23"/>
      <x:c r="Z186" s="20"/>
      <x:c r="AA186" s="20"/>
      <x:c r="AB186" s="20"/>
      <x:c r="AC186" s="23"/>
    </x:row>
    <x:row r="187">
      <x:c r="A187" s="20"/>
      <x:c r="B187" s="20"/>
      <x:c r="C187" s="20"/>
      <x:c r="D187" s="23"/>
      <x:c r="E187" s="20"/>
      <x:c r="F187" s="20"/>
      <x:c r="G187" s="20"/>
      <x:c r="H187" s="20"/>
      <x:c r="I187" s="20"/>
      <x:c r="J187" s="20"/>
      <x:c r="K187" s="20"/>
      <x:c r="L187" s="20"/>
      <x:c r="M187" s="20"/>
      <x:c r="N187" s="20"/>
      <x:c r="O187" s="20"/>
      <x:c r="P187" s="23"/>
      <x:c r="Q187" s="23"/>
      <x:c r="R187" s="20"/>
      <x:c r="S187" s="20"/>
      <x:c r="T187" s="20"/>
      <x:c r="U187" s="20"/>
      <x:c r="V187" s="20"/>
      <x:c r="W187" s="20"/>
      <x:c r="X187" s="20"/>
      <x:c r="Y187" s="23"/>
      <x:c r="Z187" s="20"/>
      <x:c r="AA187" s="20"/>
      <x:c r="AB187" s="20"/>
      <x:c r="AC187" s="23"/>
    </x:row>
    <x:row r="188">
      <x:c r="A188" s="20"/>
      <x:c r="B188" s="20"/>
      <x:c r="C188" s="20"/>
      <x:c r="D188" s="23"/>
      <x:c r="E188" s="20"/>
      <x:c r="F188" s="20"/>
      <x:c r="G188" s="20"/>
      <x:c r="H188" s="20"/>
      <x:c r="I188" s="20"/>
      <x:c r="J188" s="20"/>
      <x:c r="K188" s="20"/>
      <x:c r="L188" s="20"/>
      <x:c r="M188" s="20"/>
      <x:c r="N188" s="20"/>
      <x:c r="O188" s="20"/>
      <x:c r="P188" s="23"/>
      <x:c r="Q188" s="23"/>
      <x:c r="R188" s="20"/>
      <x:c r="S188" s="20"/>
      <x:c r="T188" s="20"/>
      <x:c r="U188" s="20"/>
      <x:c r="V188" s="20"/>
      <x:c r="W188" s="20"/>
      <x:c r="X188" s="20"/>
      <x:c r="Y188" s="23"/>
      <x:c r="Z188" s="20"/>
      <x:c r="AA188" s="20"/>
      <x:c r="AB188" s="20"/>
      <x:c r="AC188" s="23"/>
    </x:row>
    <x:row r="189">
      <x:c r="A189" s="20"/>
      <x:c r="B189" s="20"/>
      <x:c r="C189" s="20"/>
      <x:c r="D189" s="23"/>
      <x:c r="E189" s="20"/>
      <x:c r="F189" s="20"/>
      <x:c r="G189" s="20"/>
      <x:c r="H189" s="20"/>
      <x:c r="I189" s="20"/>
      <x:c r="J189" s="20"/>
      <x:c r="K189" s="20"/>
      <x:c r="L189" s="20"/>
      <x:c r="M189" s="20"/>
      <x:c r="N189" s="20"/>
      <x:c r="O189" s="20"/>
      <x:c r="P189" s="23"/>
      <x:c r="Q189" s="23"/>
      <x:c r="R189" s="20"/>
      <x:c r="S189" s="20"/>
      <x:c r="T189" s="20"/>
      <x:c r="U189" s="20"/>
      <x:c r="V189" s="20"/>
      <x:c r="W189" s="20"/>
      <x:c r="X189" s="20"/>
      <x:c r="Y189" s="23"/>
      <x:c r="Z189" s="20"/>
      <x:c r="AA189" s="20"/>
      <x:c r="AB189" s="20"/>
      <x:c r="AC189" s="23"/>
    </x:row>
    <x:row r="190">
      <x:c r="A190" s="20"/>
      <x:c r="B190" s="20"/>
      <x:c r="C190" s="20"/>
      <x:c r="D190" s="23"/>
      <x:c r="E190" s="20"/>
      <x:c r="F190" s="20"/>
      <x:c r="G190" s="20"/>
      <x:c r="H190" s="20"/>
      <x:c r="I190" s="20"/>
      <x:c r="J190" s="20"/>
      <x:c r="K190" s="20"/>
      <x:c r="L190" s="20"/>
      <x:c r="M190" s="20"/>
      <x:c r="N190" s="20"/>
      <x:c r="O190" s="20"/>
      <x:c r="P190" s="23"/>
      <x:c r="Q190" s="23"/>
      <x:c r="R190" s="20"/>
      <x:c r="S190" s="20"/>
      <x:c r="T190" s="20"/>
      <x:c r="U190" s="20"/>
      <x:c r="V190" s="20"/>
      <x:c r="W190" s="20"/>
      <x:c r="X190" s="20"/>
      <x:c r="Y190" s="23"/>
      <x:c r="Z190" s="20"/>
      <x:c r="AA190" s="20"/>
      <x:c r="AB190" s="20"/>
      <x:c r="AC190" s="23"/>
    </x:row>
    <x:row r="191">
      <x:c r="A191" s="20"/>
      <x:c r="B191" s="20"/>
      <x:c r="C191" s="20"/>
      <x:c r="D191" s="23"/>
      <x:c r="E191" s="20"/>
      <x:c r="F191" s="20"/>
      <x:c r="G191" s="20"/>
      <x:c r="H191" s="20"/>
      <x:c r="I191" s="20"/>
      <x:c r="J191" s="20"/>
      <x:c r="K191" s="20"/>
      <x:c r="L191" s="20"/>
      <x:c r="M191" s="20"/>
      <x:c r="N191" s="20"/>
      <x:c r="O191" s="20"/>
      <x:c r="P191" s="23"/>
      <x:c r="Q191" s="23"/>
      <x:c r="R191" s="20"/>
      <x:c r="S191" s="20"/>
      <x:c r="T191" s="20"/>
      <x:c r="U191" s="20"/>
      <x:c r="V191" s="20"/>
      <x:c r="W191" s="20"/>
      <x:c r="X191" s="20"/>
      <x:c r="Y191" s="23"/>
      <x:c r="Z191" s="20"/>
      <x:c r="AA191" s="20"/>
      <x:c r="AB191" s="20"/>
      <x:c r="AC191" s="23"/>
    </x:row>
    <x:row r="192">
      <x:c r="A192" s="20"/>
      <x:c r="B192" s="20"/>
      <x:c r="C192" s="20"/>
      <x:c r="D192" s="23"/>
      <x:c r="E192" s="20"/>
      <x:c r="F192" s="20"/>
      <x:c r="G192" s="20"/>
      <x:c r="H192" s="20"/>
      <x:c r="I192" s="20"/>
      <x:c r="J192" s="20"/>
      <x:c r="K192" s="20"/>
      <x:c r="L192" s="20"/>
      <x:c r="M192" s="20"/>
      <x:c r="N192" s="20"/>
      <x:c r="O192" s="20"/>
      <x:c r="P192" s="23"/>
      <x:c r="Q192" s="23"/>
      <x:c r="R192" s="20"/>
      <x:c r="S192" s="20"/>
      <x:c r="T192" s="20"/>
      <x:c r="U192" s="20"/>
      <x:c r="V192" s="20"/>
      <x:c r="W192" s="20"/>
      <x:c r="X192" s="20"/>
      <x:c r="Y192" s="23"/>
      <x:c r="Z192" s="20"/>
      <x:c r="AA192" s="20"/>
      <x:c r="AB192" s="20"/>
      <x:c r="AC192" s="23"/>
    </x:row>
    <x:row r="193">
      <x:c r="A193" s="20"/>
      <x:c r="B193" s="20"/>
      <x:c r="C193" s="20"/>
      <x:c r="D193" s="23"/>
      <x:c r="E193" s="20"/>
      <x:c r="F193" s="20"/>
      <x:c r="G193" s="20"/>
      <x:c r="H193" s="20"/>
      <x:c r="I193" s="20"/>
      <x:c r="J193" s="20"/>
      <x:c r="K193" s="20"/>
      <x:c r="L193" s="20"/>
      <x:c r="M193" s="20"/>
      <x:c r="N193" s="20"/>
      <x:c r="O193" s="20"/>
      <x:c r="P193" s="23"/>
      <x:c r="Q193" s="23"/>
      <x:c r="R193" s="20"/>
      <x:c r="S193" s="20"/>
      <x:c r="T193" s="20"/>
      <x:c r="U193" s="20"/>
      <x:c r="V193" s="20"/>
      <x:c r="W193" s="20"/>
      <x:c r="X193" s="20"/>
      <x:c r="Y193" s="23"/>
      <x:c r="Z193" s="20"/>
      <x:c r="AA193" s="20"/>
      <x:c r="AB193" s="20"/>
      <x:c r="AC193" s="23"/>
    </x:row>
    <x:row r="194">
      <x:c r="A194" s="20"/>
      <x:c r="B194" s="20"/>
      <x:c r="C194" s="20"/>
      <x:c r="D194" s="23"/>
      <x:c r="E194" s="20"/>
      <x:c r="F194" s="20"/>
      <x:c r="G194" s="20"/>
      <x:c r="H194" s="20"/>
      <x:c r="I194" s="20"/>
      <x:c r="J194" s="20"/>
      <x:c r="K194" s="20"/>
      <x:c r="L194" s="20"/>
      <x:c r="M194" s="20"/>
      <x:c r="N194" s="20"/>
      <x:c r="O194" s="20"/>
      <x:c r="P194" s="23"/>
      <x:c r="Q194" s="23"/>
      <x:c r="R194" s="20"/>
      <x:c r="S194" s="20"/>
      <x:c r="T194" s="20"/>
      <x:c r="U194" s="20"/>
      <x:c r="V194" s="20"/>
      <x:c r="W194" s="20"/>
      <x:c r="X194" s="20"/>
      <x:c r="Y194" s="23"/>
      <x:c r="Z194" s="20"/>
      <x:c r="AA194" s="20"/>
      <x:c r="AB194" s="20"/>
      <x:c r="AC194" s="23"/>
    </x:row>
    <x:row r="195">
      <x:c r="A195" s="20"/>
      <x:c r="B195" s="20"/>
      <x:c r="C195" s="20"/>
      <x:c r="D195" s="23"/>
      <x:c r="E195" s="20"/>
      <x:c r="F195" s="20"/>
      <x:c r="G195" s="20"/>
      <x:c r="H195" s="20"/>
      <x:c r="I195" s="20"/>
      <x:c r="J195" s="20"/>
      <x:c r="K195" s="20"/>
      <x:c r="L195" s="20"/>
      <x:c r="M195" s="20"/>
      <x:c r="N195" s="20"/>
      <x:c r="O195" s="20"/>
      <x:c r="P195" s="23"/>
      <x:c r="Q195" s="23"/>
      <x:c r="R195" s="20"/>
      <x:c r="S195" s="20"/>
      <x:c r="T195" s="20"/>
      <x:c r="U195" s="20"/>
      <x:c r="V195" s="20"/>
      <x:c r="W195" s="20"/>
      <x:c r="X195" s="20"/>
      <x:c r="Y195" s="23"/>
      <x:c r="Z195" s="20"/>
      <x:c r="AA195" s="20"/>
      <x:c r="AB195" s="20"/>
      <x:c r="AC195" s="23"/>
    </x:row>
    <x:row r="196">
      <x:c r="A196" s="20"/>
      <x:c r="B196" s="20"/>
      <x:c r="C196" s="20"/>
      <x:c r="D196" s="23"/>
      <x:c r="E196" s="20"/>
      <x:c r="F196" s="20"/>
      <x:c r="G196" s="20"/>
      <x:c r="H196" s="20"/>
      <x:c r="I196" s="20"/>
      <x:c r="J196" s="20"/>
      <x:c r="K196" s="20"/>
      <x:c r="L196" s="20"/>
      <x:c r="M196" s="20"/>
      <x:c r="N196" s="20"/>
      <x:c r="O196" s="20"/>
      <x:c r="P196" s="23"/>
      <x:c r="Q196" s="23"/>
      <x:c r="R196" s="20"/>
      <x:c r="S196" s="20"/>
      <x:c r="T196" s="20"/>
      <x:c r="U196" s="20"/>
      <x:c r="V196" s="20"/>
      <x:c r="W196" s="20"/>
      <x:c r="X196" s="20"/>
      <x:c r="Y196" s="23"/>
      <x:c r="Z196" s="20"/>
      <x:c r="AA196" s="20"/>
      <x:c r="AB196" s="20"/>
      <x:c r="AC196" s="23"/>
    </x:row>
    <x:row r="197">
      <x:c r="A197" s="20"/>
      <x:c r="B197" s="20"/>
      <x:c r="C197" s="20"/>
      <x:c r="D197" s="23"/>
      <x:c r="E197" s="20"/>
      <x:c r="F197" s="20"/>
      <x:c r="G197" s="20"/>
      <x:c r="H197" s="20"/>
      <x:c r="I197" s="20"/>
      <x:c r="J197" s="20"/>
      <x:c r="K197" s="20"/>
      <x:c r="L197" s="20"/>
      <x:c r="M197" s="20"/>
      <x:c r="N197" s="20"/>
      <x:c r="O197" s="20"/>
      <x:c r="P197" s="23"/>
      <x:c r="Q197" s="23"/>
      <x:c r="R197" s="20"/>
      <x:c r="S197" s="20"/>
      <x:c r="T197" s="20"/>
      <x:c r="U197" s="20"/>
      <x:c r="V197" s="20"/>
      <x:c r="W197" s="20"/>
      <x:c r="X197" s="20"/>
      <x:c r="Y197" s="23"/>
      <x:c r="Z197" s="20"/>
      <x:c r="AA197" s="20"/>
      <x:c r="AB197" s="20"/>
      <x:c r="AC197" s="23"/>
    </x:row>
    <x:row r="198">
      <x:c r="A198" s="20"/>
      <x:c r="B198" s="20"/>
      <x:c r="C198" s="20"/>
      <x:c r="D198" s="23"/>
      <x:c r="E198" s="20"/>
      <x:c r="F198" s="20"/>
      <x:c r="G198" s="20"/>
      <x:c r="H198" s="20"/>
      <x:c r="I198" s="20"/>
      <x:c r="J198" s="20"/>
      <x:c r="K198" s="20"/>
      <x:c r="L198" s="20"/>
      <x:c r="M198" s="20"/>
      <x:c r="N198" s="20"/>
      <x:c r="O198" s="20"/>
      <x:c r="P198" s="23"/>
      <x:c r="Q198" s="23"/>
      <x:c r="R198" s="20"/>
      <x:c r="S198" s="20"/>
      <x:c r="T198" s="20"/>
      <x:c r="U198" s="20"/>
      <x:c r="V198" s="20"/>
      <x:c r="W198" s="20"/>
      <x:c r="X198" s="20"/>
      <x:c r="Y198" s="23"/>
      <x:c r="Z198" s="20"/>
      <x:c r="AA198" s="20"/>
      <x:c r="AB198" s="20"/>
      <x:c r="AC198" s="23"/>
    </x:row>
    <x:row r="199">
      <x:c r="A199" s="20"/>
      <x:c r="B199" s="20"/>
      <x:c r="C199" s="20"/>
      <x:c r="D199" s="23"/>
      <x:c r="E199" s="20"/>
      <x:c r="F199" s="20"/>
      <x:c r="G199" s="20"/>
      <x:c r="H199" s="20"/>
      <x:c r="I199" s="20"/>
      <x:c r="J199" s="20"/>
      <x:c r="K199" s="20"/>
      <x:c r="L199" s="20"/>
      <x:c r="M199" s="20"/>
      <x:c r="N199" s="20"/>
      <x:c r="O199" s="20"/>
      <x:c r="P199" s="23"/>
      <x:c r="Q199" s="23"/>
      <x:c r="R199" s="20"/>
      <x:c r="S199" s="20"/>
      <x:c r="T199" s="20"/>
      <x:c r="U199" s="20"/>
      <x:c r="V199" s="20"/>
      <x:c r="W199" s="20"/>
      <x:c r="X199" s="20"/>
      <x:c r="Y199" s="23"/>
      <x:c r="Z199" s="20"/>
      <x:c r="AA199" s="20"/>
      <x:c r="AB199" s="20"/>
      <x:c r="AC199" s="23"/>
    </x:row>
    <x:row r="200">
      <x:c r="A200" s="20"/>
      <x:c r="B200" s="20"/>
      <x:c r="C200" s="20"/>
      <x:c r="D200" s="23"/>
      <x:c r="E200" s="20"/>
      <x:c r="F200" s="20"/>
      <x:c r="G200" s="20"/>
      <x:c r="H200" s="20"/>
      <x:c r="I200" s="20"/>
      <x:c r="J200" s="20"/>
      <x:c r="K200" s="20"/>
      <x:c r="L200" s="20"/>
      <x:c r="M200" s="20"/>
      <x:c r="N200" s="20"/>
      <x:c r="O200" s="20"/>
      <x:c r="P200" s="23"/>
      <x:c r="Q200" s="23"/>
      <x:c r="R200" s="20"/>
      <x:c r="S200" s="20"/>
      <x:c r="T200" s="20"/>
      <x:c r="U200" s="20"/>
      <x:c r="V200" s="20"/>
      <x:c r="W200" s="20"/>
      <x:c r="X200" s="20"/>
      <x:c r="Y200" s="23"/>
      <x:c r="Z200" s="20"/>
      <x:c r="AA200" s="20"/>
      <x:c r="AB200" s="20"/>
      <x:c r="AC200" s="23"/>
    </x:row>
    <x:row r="201">
      <x:c r="A201" s="20"/>
      <x:c r="B201" s="20"/>
      <x:c r="C201" s="20"/>
      <x:c r="D201" s="23"/>
      <x:c r="E201" s="20"/>
      <x:c r="F201" s="20"/>
      <x:c r="G201" s="20"/>
      <x:c r="H201" s="20"/>
      <x:c r="I201" s="20"/>
      <x:c r="J201" s="20"/>
      <x:c r="K201" s="20"/>
      <x:c r="L201" s="20"/>
      <x:c r="M201" s="20"/>
      <x:c r="N201" s="20"/>
      <x:c r="O201" s="20"/>
      <x:c r="P201" s="23"/>
      <x:c r="Q201" s="23"/>
      <x:c r="R201" s="20"/>
      <x:c r="S201" s="20"/>
      <x:c r="T201" s="20"/>
      <x:c r="U201" s="20"/>
      <x:c r="V201" s="20"/>
      <x:c r="W201" s="20"/>
      <x:c r="X201" s="20"/>
      <x:c r="Y201" s="23"/>
      <x:c r="Z201" s="20"/>
      <x:c r="AA201" s="20"/>
      <x:c r="AB201" s="20"/>
      <x:c r="AC201" s="23"/>
    </x:row>
    <x:row r="202">
      <x:c r="A202" s="20"/>
      <x:c r="B202" s="20"/>
      <x:c r="C202" s="20"/>
      <x:c r="D202" s="23"/>
      <x:c r="E202" s="20"/>
      <x:c r="F202" s="20"/>
      <x:c r="G202" s="20"/>
      <x:c r="H202" s="20"/>
      <x:c r="I202" s="20"/>
      <x:c r="J202" s="20"/>
      <x:c r="K202" s="20"/>
      <x:c r="L202" s="20"/>
      <x:c r="M202" s="20"/>
      <x:c r="N202" s="20"/>
      <x:c r="O202" s="20"/>
      <x:c r="P202" s="23"/>
      <x:c r="Q202" s="23"/>
      <x:c r="R202" s="20"/>
      <x:c r="S202" s="20"/>
      <x:c r="T202" s="20"/>
      <x:c r="U202" s="20"/>
      <x:c r="V202" s="20"/>
      <x:c r="W202" s="20"/>
      <x:c r="X202" s="20"/>
      <x:c r="Y202" s="23"/>
      <x:c r="Z202" s="20"/>
      <x:c r="AA202" s="20"/>
      <x:c r="AB202" s="20"/>
      <x:c r="AC202" s="23"/>
    </x:row>
    <x:row r="203">
      <x:c r="A203" s="20"/>
      <x:c r="B203" s="20"/>
      <x:c r="C203" s="20"/>
      <x:c r="D203" s="23"/>
      <x:c r="E203" s="20"/>
      <x:c r="F203" s="20"/>
      <x:c r="G203" s="20"/>
      <x:c r="H203" s="20"/>
      <x:c r="I203" s="20"/>
      <x:c r="J203" s="20"/>
      <x:c r="K203" s="20"/>
      <x:c r="L203" s="20"/>
      <x:c r="M203" s="20"/>
      <x:c r="N203" s="20"/>
      <x:c r="O203" s="20"/>
      <x:c r="P203" s="23"/>
      <x:c r="Q203" s="23"/>
      <x:c r="R203" s="20"/>
      <x:c r="S203" s="20"/>
      <x:c r="T203" s="20"/>
      <x:c r="U203" s="20"/>
      <x:c r="V203" s="20"/>
      <x:c r="W203" s="20"/>
      <x:c r="X203" s="20"/>
      <x:c r="Y203" s="23"/>
      <x:c r="Z203" s="20"/>
      <x:c r="AA203" s="20"/>
      <x:c r="AB203" s="20"/>
      <x:c r="AC203" s="23"/>
    </x:row>
    <x:row r="204">
      <x:c r="A204" s="21"/>
      <x:c r="B204" s="21"/>
      <x:c r="C204" s="21"/>
      <x:c r="D204" s="24"/>
      <x:c r="E204" s="21"/>
      <x:c r="F204" s="21"/>
      <x:c r="G204" s="21"/>
      <x:c r="H204" s="21"/>
      <x:c r="I204" s="21"/>
      <x:c r="J204" s="21"/>
      <x:c r="K204" s="21"/>
      <x:c r="L204" s="21"/>
      <x:c r="M204" s="21"/>
      <x:c r="N204" s="21"/>
      <x:c r="O204" s="21"/>
      <x:c r="P204" s="24"/>
      <x:c r="Q204" s="24"/>
      <x:c r="R204" s="21"/>
      <x:c r="S204" s="21"/>
      <x:c r="T204" s="21"/>
      <x:c r="U204" s="21"/>
      <x:c r="V204" s="21"/>
      <x:c r="W204" s="21"/>
      <x:c r="X204" s="21"/>
      <x:c r="Y204" s="24"/>
      <x:c r="Z204" s="21"/>
      <x:c r="AA204" s="21"/>
      <x:c r="AB204" s="21"/>
      <x:c r="AC204" s="24"/>
    </x:row>
  </x:sheetData>
  <x:mergeCells>
    <x:mergeCell ref="A1:AC1"/>
    <x:mergeCell ref="A2:AC2"/>
  </x:mergeCells>
  <x:conditionalFormatting sqref="A5:AC204">
    <x:cfRule type="expression" dxfId="33" priority="1">
      <x:formula>OR($C5="Open",$C5="Blocked",$C5="Failed",$C5="Rejected",$C5="Not Authorised")</x:formula>
    </x:cfRule>
    <x:cfRule type="expression" dxfId="34" priority="2">
      <x:formula>OR($C5="Approved",$C5="Passed",$C5="Closed",$C5="Authorised")</x:formula>
    </x:cfRule>
    <x:cfRule type="expression" dxfId="35" priority="3">
      <x:formula>OR($C5="Pending",$C5="In Progress",$C5="Investigating",$C5="Conditional")</x:formula>
    </x:cfRule>
  </x:conditionalFormatting>
  <x:dataValidations count="5">
    <x:dataValidation type="list" sqref="C5:C204">
      <x:formula1>"Not Authorised,Conditional,Authorised,Revoked,Expired"</x:formula1>
    </x:dataValidation>
    <x:dataValidation type="list" sqref="F5:F204">
      <x:formula1>"Local,Development,Staging,Production"</x:formula1>
    </x:dataValidation>
    <x:dataValidation type="list" sqref="L5:L204">
      <x:formula1>"Yes,No"</x:formula1>
    </x:dataValidation>
    <x:dataValidation type="list" sqref="M5:M204">
      <x:formula1>"Yes,No"</x:formula1>
    </x:dataValidation>
    <x:dataValidation type="list" sqref="N5:N204">
      <x:formula1>"Yes,No"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572d4e004794f7e"/>
  </x:tableParts>
</x:worksheet>
</file>

<file path=xl/worksheets/sheet1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</x:cols>
  <x:sheetData>
    <x:row r="1" ht="34" customHeight="1">
      <x:c r="A1" s="3" t="str">
        <x:v>LOOKUPS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</x:row>
    <x:row r="2" ht="28" customHeight="1">
      <x:c r="A2" s="7" t="str">
        <x:v>Controlled values used by dropdown fields. Governance administrator may extend these lists through a controlled change.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</x:row>
    <x:row r="4" ht="32" customHeight="1">
      <x:c r="A4" s="12" t="str">
        <x:v>Priority</x:v>
      </x:c>
      <x:c r="B4" s="12" t="str">
        <x:v>Generic Status</x:v>
      </x:c>
      <x:c r="C4" s="12" t="str">
        <x:v>Gate Status</x:v>
      </x:c>
      <x:c r="D4" s="12" t="str">
        <x:v>Decision Status</x:v>
      </x:c>
      <x:c r="E4" s="12" t="str">
        <x:v>Approval Status</x:v>
      </x:c>
      <x:c r="F4" s="12" t="str">
        <x:v>Release Decision</x:v>
      </x:c>
      <x:c r="G4" s="12" t="str">
        <x:v>Severity</x:v>
      </x:c>
      <x:c r="H4" s="12" t="str">
        <x:v>Risk Rating</x:v>
      </x:c>
      <x:c r="I4" s="12" t="str">
        <x:v>Scope Type</x:v>
      </x:c>
      <x:c r="J4" s="12" t="str">
        <x:v>Yes No</x:v>
      </x:c>
      <x:c r="K4" s="12" t="str">
        <x:v>Evidence Status</x:v>
      </x:c>
      <x:c r="L4" s="12" t="str">
        <x:v>Change Type</x:v>
      </x:c>
      <x:c r="M4" s="12" t="str">
        <x:v>Environment</x:v>
      </x:c>
      <x:c r="N4" s="12" t="str">
        <x:v>Confidentiality</x:v>
      </x:c>
    </x:row>
    <x:row r="5">
      <x:c r="A5" t="str">
        <x:v>Critical</x:v>
      </x:c>
      <x:c r="B5" t="str">
        <x:v>Open</x:v>
      </x:c>
      <x:c r="C5" t="str">
        <x:v>Not Run</x:v>
      </x:c>
      <x:c r="D5" t="str">
        <x:v>Proposed</x:v>
      </x:c>
      <x:c r="E5" t="str">
        <x:v>Pending</x:v>
      </x:c>
      <x:c r="F5" t="str">
        <x:v>Not Authorised</x:v>
      </x:c>
      <x:c r="G5" t="str">
        <x:v>Critical</x:v>
      </x:c>
      <x:c r="H5" t="str">
        <x:v>Critical</x:v>
      </x:c>
      <x:c r="I5" t="str">
        <x:v>Platform</x:v>
      </x:c>
      <x:c r="J5" t="str">
        <x:v>Yes</x:v>
      </x:c>
      <x:c r="K5" t="str">
        <x:v>Draft</x:v>
      </x:c>
      <x:c r="L5" t="str">
        <x:v>Architecture</x:v>
      </x:c>
      <x:c r="M5" t="str">
        <x:v>Local</x:v>
      </x:c>
      <x:c r="N5" t="str">
        <x:v>Internal</x:v>
      </x:c>
    </x:row>
    <x:row r="6">
      <x:c r="A6" t="str">
        <x:v>High</x:v>
      </x:c>
      <x:c r="B6" t="str">
        <x:v>In Progress</x:v>
      </x:c>
      <x:c r="C6" t="str">
        <x:v>In Progress</x:v>
      </x:c>
      <x:c r="D6" t="str">
        <x:v>Under Review</x:v>
      </x:c>
      <x:c r="E6" t="str">
        <x:v>Approved</x:v>
      </x:c>
      <x:c r="F6" t="str">
        <x:v>Conditional</x:v>
      </x:c>
      <x:c r="G6" t="str">
        <x:v>Major</x:v>
      </x:c>
      <x:c r="H6" t="str">
        <x:v>High</x:v>
      </x:c>
      <x:c r="I6" t="str">
        <x:v>Client</x:v>
      </x:c>
      <x:c r="J6" t="str">
        <x:v>No</x:v>
      </x:c>
      <x:c r="K6" t="str">
        <x:v>Submitted</x:v>
      </x:c>
      <x:c r="L6" t="str">
        <x:v>Data</x:v>
      </x:c>
      <x:c r="M6" t="str">
        <x:v>Development</x:v>
      </x:c>
      <x:c r="N6" t="str">
        <x:v>Restricted</x:v>
      </x:c>
    </x:row>
    <x:row r="7">
      <x:c r="A7" t="str">
        <x:v>Medium</x:v>
      </x:c>
      <x:c r="B7" t="str">
        <x:v>Blocked</x:v>
      </x:c>
      <x:c r="C7" t="str">
        <x:v>Passed</x:v>
      </x:c>
      <x:c r="D7" t="str">
        <x:v>Approved</x:v>
      </x:c>
      <x:c r="E7" t="str">
        <x:v>Conditional</x:v>
      </x:c>
      <x:c r="F7" t="str">
        <x:v>Authorised</x:v>
      </x:c>
      <x:c r="G7" t="str">
        <x:v>Moderate</x:v>
      </x:c>
      <x:c r="H7" t="str">
        <x:v>Medium</x:v>
      </x:c>
      <x:c r="I7" t="str">
        <x:v>Event</x:v>
      </x:c>
      <x:c r="K7" t="str">
        <x:v>Verified</x:v>
      </x:c>
      <x:c r="L7" t="str">
        <x:v>Security</x:v>
      </x:c>
      <x:c r="M7" t="str">
        <x:v>Staging</x:v>
      </x:c>
      <x:c r="N7" t="str">
        <x:v>Highly Restricted</x:v>
      </x:c>
    </x:row>
    <x:row r="8">
      <x:c r="A8" t="str">
        <x:v>Low</x:v>
      </x:c>
      <x:c r="B8" t="str">
        <x:v>Pending</x:v>
      </x:c>
      <x:c r="C8" t="str">
        <x:v>Failed</x:v>
      </x:c>
      <x:c r="D8" t="str">
        <x:v>Rejected</x:v>
      </x:c>
      <x:c r="E8" t="str">
        <x:v>Rejected</x:v>
      </x:c>
      <x:c r="F8" t="str">
        <x:v>Revoked</x:v>
      </x:c>
      <x:c r="G8" t="str">
        <x:v>Minor</x:v>
      </x:c>
      <x:c r="H8" t="str">
        <x:v>Low</x:v>
      </x:c>
      <x:c r="I8" t="str">
        <x:v>Release Candidate</x:v>
      </x:c>
      <x:c r="K8" t="str">
        <x:v>Rejected</x:v>
      </x:c>
      <x:c r="L8" t="str">
        <x:v>Frontend</x:v>
      </x:c>
      <x:c r="M8" t="str">
        <x:v>Production</x:v>
      </x:c>
    </x:row>
    <x:row r="9">
      <x:c r="B9" t="str">
        <x:v>Closed</x:v>
      </x:c>
      <x:c r="C9" t="str">
        <x:v>Waived</x:v>
      </x:c>
      <x:c r="D9" t="str">
        <x:v>Superseded</x:v>
      </x:c>
      <x:c r="E9" t="str">
        <x:v>Expired</x:v>
      </x:c>
      <x:c r="F9" t="str">
        <x:v>Expired</x:v>
      </x:c>
      <x:c r="I9" t="str">
        <x:v>Capability</x:v>
      </x:c>
      <x:c r="K9" t="str">
        <x:v>Stale</x:v>
      </x:c>
      <x:c r="L9" t="str">
        <x:v>Backend</x:v>
      </x:c>
    </x:row>
    <x:row r="10">
      <x:c r="B10" t="str">
        <x:v>Cancelled</x:v>
      </x:c>
      <x:c r="E10" t="str">
        <x:v>Revoked</x:v>
      </x:c>
      <x:c r="I10" t="str">
        <x:v>Region</x:v>
      </x:c>
      <x:c r="L10" t="str">
        <x:v>Infrastructure</x:v>
      </x:c>
    </x:row>
    <x:row r="11">
      <x:c r="L11" t="str">
        <x:v>Operations</x:v>
      </x:c>
    </x:row>
    <x:row r="12">
      <x:c r="L12" t="str">
        <x:v>Policy</x:v>
      </x:c>
    </x:row>
    <x:row r="13">
      <x:c r="L13" t="str">
        <x:v>Emergency</x:v>
      </x:c>
    </x:row>
  </x:sheetData>
  <x:mergeCells>
    <x:mergeCell ref="A1:N1"/>
    <x:mergeCell ref="A2:N2"/>
  </x:mergeCells>
  <x:pageMargins left="0.7" right="0.7" top="0.75" bottom="0.75" header="0.3" footer="0.3"/>
</x:worksheet>
</file>