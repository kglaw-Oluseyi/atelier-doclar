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9a1f8a109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f57afbeab004ba0"/>
    <x:sheet xmlns:r="http://schemas.openxmlformats.org/officeDocument/2006/relationships" name="DASHBOARD" sheetId="2" r:id="R30b1b3670a154a99"/>
    <x:sheet xmlns:r="http://schemas.openxmlformats.org/officeDocument/2006/relationships" name="DECISIONS" sheetId="3" r:id="R73dfe9ca53f34876"/>
    <x:sheet xmlns:r="http://schemas.openxmlformats.org/officeDocument/2006/relationships" name="QUESTIONS" sheetId="4" r:id="R9998ad2035fa4424"/>
    <x:sheet xmlns:r="http://schemas.openxmlformats.org/officeDocument/2006/relationships" name="DEFECTS" sheetId="5" r:id="Rfee7ac64c62d4fa4"/>
    <x:sheet xmlns:r="http://schemas.openxmlformats.org/officeDocument/2006/relationships" name="RISKS" sheetId="6" r:id="R21fbb05e2e894aa4"/>
    <x:sheet xmlns:r="http://schemas.openxmlformats.org/officeDocument/2006/relationships" name="APPROVALS" sheetId="7" r:id="Reec768e1faf24b93"/>
    <x:sheet xmlns:r="http://schemas.openxmlformats.org/officeDocument/2006/relationships" name="EXCEPTIONS" sheetId="8" r:id="Rb29854aea4194f2a"/>
    <x:sheet xmlns:r="http://schemas.openxmlformats.org/officeDocument/2006/relationships" name="EVIDENCE" sheetId="9" r:id="R462c834f65774ccd"/>
    <x:sheet xmlns:r="http://schemas.openxmlformats.org/officeDocument/2006/relationships" name="CONTENT RELEASES" sheetId="10" r:id="Rb3b4f9a3f9d647ff"/>
    <x:sheet xmlns:r="http://schemas.openxmlformats.org/officeDocument/2006/relationships" name="ASSESSMENT INTEGRITY" sheetId="11" r:id="R2872a525f5eb4b69"/>
    <x:sheet xmlns:r="http://schemas.openxmlformats.org/officeDocument/2006/relationships" name="CERTIFICATIONS" sheetId="12" r:id="R18ee219dcfa4478d"/>
    <x:sheet xmlns:r="http://schemas.openxmlformats.org/officeDocument/2006/relationships" name="EVENT READINESS" sheetId="13" r:id="R1be190b21c1444f7"/>
    <x:sheet xmlns:r="http://schemas.openxmlformats.org/officeDocument/2006/relationships" name="INTEGRATIONS" sheetId="14" r:id="Rce1ec595bbd549fc"/>
    <x:sheet xmlns:r="http://schemas.openxmlformats.org/officeDocument/2006/relationships" name="CHANGES" sheetId="15" r:id="Rc591281d3df443a2"/>
    <x:sheet xmlns:r="http://schemas.openxmlformats.org/officeDocument/2006/relationships" name="RELEASES" sheetId="16" r:id="Rf8617468545d4f44"/>
    <x:sheet xmlns:r="http://schemas.openxmlformats.org/officeDocument/2006/relationships" name="CEO AUTHORISATION" sheetId="17" r:id="Rb06ac8ec8c8c46e5"/>
    <x:sheet xmlns:r="http://schemas.openxmlformats.org/officeDocument/2006/relationships" name="LISTS" sheetId="18" r:id="Rf53ea4e1abcc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6717D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b/>
      <x:sz val="13"/>
      <x:color rgb="FF7A5A00"/>
      <x:name val="Carlito"/>
    </x:font>
    <x:font>
      <x:b/>
      <x:sz val="18"/>
      <x:color rgb="FFFFFFFF"/>
      <x:name val="Carlito"/>
    </x:font>
    <x:font>
      <x:i/>
      <x:sz val="10"/>
      <x:color rgb="FF66717D"/>
      <x:name val="Carlito"/>
    </x:font>
    <x:font>
      <x:b/>
      <x:sz val="9"/>
      <x:color rgb="FFFFFFFF"/>
      <x:name val="Carlito"/>
    </x:font>
    <x:font>
      <x:sz val="9"/>
      <x:color rgb="FF17212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F5F1EA"/>
      </x:patternFill>
    </x:fill>
    <x:fill>
      <x:patternFill patternType="solid">
        <x:fgColor rgb="FF1E4B75"/>
      </x:patternFill>
    </x:fill>
    <x:fill>
      <x:patternFill patternType="solid">
        <x:fgColor rgb="FFFFF4D6"/>
      </x:patternFill>
    </x:fill>
  </x:fills>
  <x:borders count="3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E2E7EC"/>
      </x:left>
      <x:right style="thin">
        <x:color rgb="FFE2E7EC"/>
      </x:right>
      <x:top style="thin">
        <x:color rgb="FFE2E7EC"/>
      </x:top>
      <x:bottom style="thin">
        <x:color rgb="FFE2E7EC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2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f3638cded4a9a" /><Relationship Type="http://schemas.openxmlformats.org/officeDocument/2006/relationships/theme" Target="/xl/theme/theme1.xml" Id="Ra869634c72e84398" /><Relationship Type="http://schemas.openxmlformats.org/officeDocument/2006/relationships/sharedStrings" Target="/xl/sharedStrings.xml" Id="R60e0bda5918347af" /><Relationship Type="http://schemas.openxmlformats.org/officeDocument/2006/relationships/worksheet" Target="/xl/worksheets/sheet1.xml" Id="R0f57afbeab004ba0" /><Relationship Type="http://schemas.openxmlformats.org/officeDocument/2006/relationships/worksheet" Target="/xl/worksheets/sheet2.xml" Id="R30b1b3670a154a99" /><Relationship Type="http://schemas.openxmlformats.org/officeDocument/2006/relationships/worksheet" Target="/xl/worksheets/sheet3.xml" Id="R73dfe9ca53f34876" /><Relationship Type="http://schemas.openxmlformats.org/officeDocument/2006/relationships/worksheet" Target="/xl/worksheets/sheet4.xml" Id="R9998ad2035fa4424" /><Relationship Type="http://schemas.openxmlformats.org/officeDocument/2006/relationships/worksheet" Target="/xl/worksheets/sheet5.xml" Id="Rfee7ac64c62d4fa4" /><Relationship Type="http://schemas.openxmlformats.org/officeDocument/2006/relationships/worksheet" Target="/xl/worksheets/sheet6.xml" Id="R21fbb05e2e894aa4" /><Relationship Type="http://schemas.openxmlformats.org/officeDocument/2006/relationships/worksheet" Target="/xl/worksheets/sheet7.xml" Id="Reec768e1faf24b93" /><Relationship Type="http://schemas.openxmlformats.org/officeDocument/2006/relationships/worksheet" Target="/xl/worksheets/sheet8.xml" Id="Rb29854aea4194f2a" /><Relationship Type="http://schemas.openxmlformats.org/officeDocument/2006/relationships/worksheet" Target="/xl/worksheets/sheet9.xml" Id="R462c834f65774ccd" /><Relationship Type="http://schemas.openxmlformats.org/officeDocument/2006/relationships/worksheet" Target="/xl/worksheets/sheet10.xml" Id="Rb3b4f9a3f9d647ff" /><Relationship Type="http://schemas.openxmlformats.org/officeDocument/2006/relationships/worksheet" Target="/xl/worksheets/sheet11.xml" Id="R2872a525f5eb4b69" /><Relationship Type="http://schemas.openxmlformats.org/officeDocument/2006/relationships/worksheet" Target="/xl/worksheets/sheet12.xml" Id="R18ee219dcfa4478d" /><Relationship Type="http://schemas.openxmlformats.org/officeDocument/2006/relationships/worksheet" Target="/xl/worksheets/sheet13.xml" Id="R1be190b21c1444f7" /><Relationship Type="http://schemas.openxmlformats.org/officeDocument/2006/relationships/worksheet" Target="/xl/worksheets/sheet14.xml" Id="Rce1ec595bbd549fc" /><Relationship Type="http://schemas.openxmlformats.org/officeDocument/2006/relationships/worksheet" Target="/xl/worksheets/sheet15.xml" Id="Rc591281d3df443a2" /><Relationship Type="http://schemas.openxmlformats.org/officeDocument/2006/relationships/worksheet" Target="/xl/worksheets/sheet16.xml" Id="Rf8617468545d4f44" /><Relationship Type="http://schemas.openxmlformats.org/officeDocument/2006/relationships/worksheet" Target="/xl/worksheets/sheet17.xml" Id="Rb06ac8ec8c8c46e5" /><Relationship Type="http://schemas.openxmlformats.org/officeDocument/2006/relationships/worksheet" Target="/xl/worksheets/sheet18.xml" Id="Rf53ea4e1abcc45cb" /><Relationship Type="http://schemas.microsoft.com/office/2017/10/relationships/person" Target="/xl/persons/person.xml" Id="Rff286576424a496d" /></Relationships>
</file>

<file path=xl/persons/person.xml><?xml version="1.0" encoding="utf-8"?>
<xltc:personList xmlns:xltc="http://schemas.microsoft.com/office/spreadsheetml/2018/threadedcomments">
  <xltc:person displayName="George Lawson" id="{E9093071-CAFB-4F36-A1BB-94AE5B130C2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  <x:col min="4" max="4" width="12" hidden="0" customWidth="1"/>
    <x:col min="5" max="5" width="21" hidden="0" customWidth="1"/>
    <x:col min="6" max="6" width="32" hidden="0" customWidth="1"/>
    <x:col min="7" max="7" width="26" hidden="0" customWidth="1"/>
    <x:col min="8" max="8" width="25" hidden="0" customWidth="1"/>
  </x:cols>
  <x:sheetData>
    <x:row r="1" ht="38" customHeight="1">
      <x:c r="A1" s="33" t="str">
        <x:v>MAISON DOCLAR ACADEMY GOVERNANCE REGISTER</x:v>
      </x:c>
      <x:c r="B1" s="33"/>
      <x:c r="C1" s="33"/>
      <x:c r="D1" s="33"/>
      <x:c r="E1" s="33"/>
      <x:c r="F1" s="33"/>
      <x:c r="G1" s="33"/>
      <x:c r="H1" s="33"/>
    </x:row>
    <x:row r="2" ht="25" customHeight="1">
      <x:c r="A2" s="14" t="str">
        <x:v>Version 1.0 • Final controlled draft • 3 September 2026</x:v>
      </x:c>
      <x:c r="B2" s="14"/>
      <x:c r="C2" s="14"/>
      <x:c r="D2" s="14"/>
      <x:c r="E2" s="14"/>
      <x:c r="F2" s="14"/>
      <x:c r="G2" s="14"/>
      <x:c r="H2" s="1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10" t="str">
        <x:v>Control</x:v>
      </x:c>
      <x:c r="B4" s="10" t="str">
        <x:v>Instruction</x:v>
      </x:c>
      <x:c r="C4" s="34"/>
      <x:c r="D4" s="12" t="str">
        <x:v>Sequence</x:v>
      </x:c>
      <x:c r="E4" s="12" t="str">
        <x:v>Actor</x:v>
      </x:c>
      <x:c r="F4" s="12" t="str">
        <x:v>Action</x:v>
      </x:c>
      <x:c r="G4" s="12" t="str">
        <x:v>Register</x:v>
      </x:c>
      <x:c r="H4" s="12" t="str">
        <x:v>Proof</x:v>
      </x:c>
    </x:row>
    <x:row r="5" ht="42" customHeight="1">
      <x:c r="A5" s="8" t="str">
        <x:v>Owner</x:v>
      </x:c>
      <x:c r="B5" s="8" t="str">
        <x:v>CEO / Academy Governance</x:v>
      </x:c>
      <x:c r="C5" s="34"/>
      <x:c r="D5" s="7" t="n">
        <x:v>1</x:v>
      </x:c>
      <x:c r="E5" s="7" t="str">
        <x:v>Owner</x:v>
      </x:c>
      <x:c r="F5" s="7" t="str">
        <x:v>Open record before work</x:v>
      </x:c>
      <x:c r="G5" s="7" t="str">
        <x:v>Relevant register</x:v>
      </x:c>
      <x:c r="H5" s="7" t="str">
        <x:v>Stable ID</x:v>
      </x:c>
    </x:row>
    <x:row r="6" ht="42" customHeight="1">
      <x:c r="A6" s="8" t="str">
        <x:v>Purpose</x:v>
      </x:c>
      <x:c r="B6" s="8" t="str">
        <x:v>One linked control record for decisions, questions, defects, risks, approvals, exceptions, evidence, releases and CEO authorisation.</x:v>
      </x:c>
      <x:c r="C6" s="34"/>
      <x:c r="D6" s="7" t="n">
        <x:v>2</x:v>
      </x:c>
      <x:c r="E6" s="7" t="str">
        <x:v>Reviewer</x:v>
      </x:c>
      <x:c r="F6" s="7" t="str">
        <x:v>Link requirement and evidence</x:v>
      </x:c>
      <x:c r="G6" s="7" t="str">
        <x:v>EVIDENCE</x:v>
      </x:c>
      <x:c r="H6" s="7" t="str">
        <x:v>Exact candidate</x:v>
      </x:c>
    </x:row>
    <x:row r="7" ht="42" customHeight="1">
      <x:c r="A7" s="8" t="str">
        <x:v>Scope</x:v>
      </x:c>
      <x:c r="B7" s="8" t="str">
        <x:v>Academy learning, assessment, competence, certification and readiness evidence. MD-EOS retains event truth, assignments and deployment authority.</x:v>
      </x:c>
      <x:c r="C7" s="34"/>
      <x:c r="D7" s="7" t="n">
        <x:v>3</x:v>
      </x:c>
      <x:c r="E7" s="7" t="str">
        <x:v>Authority</x:v>
      </x:c>
      <x:c r="F7" s="7" t="str">
        <x:v>Record approval/decision</x:v>
      </x:c>
      <x:c r="G7" s="7" t="str">
        <x:v>APPROVALS / DECISIONS</x:v>
      </x:c>
      <x:c r="H7" s="7" t="str">
        <x:v>Signed result</x:v>
      </x:c>
    </x:row>
    <x:row r="8" ht="42" customHeight="1">
      <x:c r="A8" s="8" t="str">
        <x:v>Update rule</x:v>
      </x:c>
      <x:c r="B8" s="8" t="str">
        <x:v>Create one stable ID; link related IDs; never overwrite history—close or supersede with reason.</x:v>
      </x:c>
      <x:c r="C8" s="34"/>
      <x:c r="D8" s="7" t="n">
        <x:v>4</x:v>
      </x:c>
      <x:c r="E8" s="7" t="str">
        <x:v>Independent reviewer</x:v>
      </x:c>
      <x:c r="F8" s="7" t="str">
        <x:v>Accept or return candidate</x:v>
      </x:c>
      <x:c r="G8" s="7" t="str">
        <x:v>EVIDENCE / DEFECTS</x:v>
      </x:c>
      <x:c r="H8" s="7" t="str">
        <x:v>Acceptance decision</x:v>
      </x:c>
    </x:row>
    <x:row r="9" ht="42" customHeight="1">
      <x:c r="A9" s="8" t="str">
        <x:v>Status rule</x:v>
      </x:c>
      <x:c r="B9" s="8" t="str">
        <x:v>Use only values from LISTS. Blank does not mean accepted.</x:v>
      </x:c>
      <x:c r="C9" s="34"/>
      <x:c r="D9" s="7" t="n">
        <x:v>5</x:v>
      </x:c>
      <x:c r="E9" s="7" t="str">
        <x:v>CEO</x:v>
      </x:c>
      <x:c r="F9" s="7" t="str">
        <x:v>Authorise exact production candidate</x:v>
      </x:c>
      <x:c r="G9" s="7" t="str">
        <x:v>CEO AUTHORISATION</x:v>
      </x:c>
      <x:c r="H9" s="7" t="str">
        <x:v>Bounded decision</x:v>
      </x:c>
    </x:row>
    <x:row r="10" ht="42" customHeight="1">
      <x:c r="A10" s="8" t="str">
        <x:v>Evidence rule</x:v>
      </x:c>
      <x:c r="B10" s="8" t="str">
        <x:v>Reference exact commit, migration, content/version hash, environment, test and receipt.</x:v>
      </x:c>
      <x:c r="C10" s="34"/>
      <x:c r="D10" s="7" t="n">
        <x:v>6</x:v>
      </x:c>
      <x:c r="E10" s="7" t="str">
        <x:v>Operator</x:v>
      </x:c>
      <x:c r="F10" s="7" t="str">
        <x:v>Monitor and close/supersede</x:v>
      </x:c>
      <x:c r="G10" s="7" t="str">
        <x:v>All linked registers</x:v>
      </x:c>
      <x:c r="H10" s="7" t="str">
        <x:v>Outcome and audit</x:v>
      </x:c>
    </x:row>
    <x:row r="11">
      <x:c r="A11" s="8" t="str">
        <x:v>Release rule</x:v>
      </x:c>
      <x:c r="B11" s="8" t="str">
        <x:v>No Academy release is authorised without independent acceptance and required specialist approvals.</x:v>
      </x:c>
      <x:c r="C11" s="34"/>
      <x:c r="D11" s="34"/>
      <x:c r="E11" s="34"/>
      <x:c r="F11" s="34"/>
      <x:c r="G11" s="34"/>
      <x:c r="H11" s="34"/>
    </x:row>
    <x:row r="12">
      <x:c r="A12" s="8" t="str">
        <x:v>Exception rule</x:v>
      </x:c>
      <x:c r="B12" s="8" t="str">
        <x:v>No exception overrides tenant isolation, assessment integrity, privacy, immutable evidence, critical-fail logic or authority boundaries.</x:v>
      </x:c>
      <x:c r="C12" s="34"/>
      <x:c r="D12" s="34"/>
      <x:c r="E12" s="34"/>
      <x:c r="F12" s="34"/>
      <x:c r="G12" s="34"/>
      <x:c r="H12" s="34"/>
    </x:row>
    <x:row r="13">
      <x:c r="A13" s="8" t="str">
        <x:v>CEO rule</x:v>
      </x:c>
      <x:c r="B13" s="8" t="str">
        <x:v>CEO authorisation is exact, bounded and prospective; a changed candidate needs a new decision.</x:v>
      </x:c>
      <x:c r="C13" s="34"/>
      <x:c r="D13" s="34"/>
      <x:c r="E13" s="34"/>
      <x:c r="F13" s="34"/>
      <x:c r="G13" s="34"/>
      <x:c r="H13" s="34"/>
    </x:row>
    <x:row r="14">
      <x:c r="A14" s="8" t="str">
        <x:v>Data rule</x:v>
      </x:c>
      <x:c r="B14" s="8" t="str">
        <x:v>Use identifiers and minimum necessary detail; do not enter answers, keys, protected evidence or sensitive event facts.</x:v>
      </x:c>
      <x:c r="C14" s="34"/>
      <x:c r="D14" s="34"/>
      <x:c r="E14" s="34"/>
      <x:c r="F14" s="34"/>
      <x:c r="G14" s="34"/>
      <x:c r="H14" s="34"/>
    </x:row>
    <x:row r="15">
      <x:c r="A15" s="8" t="str">
        <x:v>Operating rhythm</x:v>
      </x:c>
      <x:c r="B15" s="8" t="str">
        <x:v>Weekly critical review; monthly coverage/integrity review; quarterly access/scheme review; pre-event readiness review.</x:v>
      </x:c>
      <x:c r="C15" s="34"/>
      <x:c r="D15" s="34"/>
      <x:c r="E15" s="34"/>
      <x:c r="F15" s="34"/>
      <x:c r="G15" s="34"/>
      <x:c r="H15" s="3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5" max="5" width="31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5" t="str">
        <x:v>ACADEMY GOVERNANCE DASHBOARD</x:v>
      </x:c>
      <x:c r="B1" s="35"/>
      <x:c r="C1" s="35"/>
      <x:c r="D1" s="35"/>
      <x:c r="E1" s="35"/>
      <x:c r="F1" s="35"/>
      <x:c r="G1" s="35"/>
      <x:c r="H1" s="35"/>
    </x:row>
    <x:row r="2" ht="28" customHeight="1">
      <x:c r="A2" s="14" t="str">
        <x:v>Formula-driven control view. “NOT AUTHORISED” remains until the exact release has accepted evidence and CEO approval.</x:v>
      </x:c>
      <x:c r="B2" s="14"/>
      <x:c r="C2" s="14"/>
      <x:c r="D2" s="14"/>
      <x:c r="E2" s="14"/>
      <x:c r="F2" s="14"/>
      <x:c r="G2" s="14"/>
      <x:c r="H2" s="1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12" t="str">
        <x:v>Control</x:v>
      </x:c>
      <x:c r="B4" s="12" t="str">
        <x:v>Open / active</x:v>
      </x:c>
      <x:c r="C4" s="12" t="str">
        <x:v>Critical / overdue</x:v>
      </x:c>
      <x:c r="D4" s="34"/>
      <x:c r="E4" s="12" t="str">
        <x:v>Release gate</x:v>
      </x:c>
      <x:c r="F4" s="12" t="str">
        <x:v>Result</x:v>
      </x:c>
      <x:c r="G4" s="12" t="str">
        <x:v>Evidence</x:v>
      </x:c>
      <x:c r="H4" s="12" t="str">
        <x:v>Decision</x:v>
      </x:c>
    </x:row>
    <x:row r="5">
      <x:c r="A5" s="7" t="str">
        <x:v>Questions</x:v>
      </x:c>
      <x:c r="B5" s="7" t="n">
        <x:f>COUNTIF('QUESTIONS'!$G$5:$G$204,"Open")</x:f>
        <x:v>0</x:v>
      </x:c>
      <x:c r="C5" s="7" t="n">
        <x:f>COUNTIF('QUESTIONS'!$H$5:$H$204,"Critical")</x:f>
        <x:v>0</x:v>
      </x:c>
      <x:c r="D5" s="34"/>
      <x:c r="E5" s="7" t="str">
        <x:v>Canonical sources ratified</x:v>
      </x:c>
      <x:c r="F5" s="7" t="str">
        <x:f>IF(COUNTIF('DECISIONS'!$H$5:$H$204,"Adopted")&gt;0,"CHECK","NOT MET")</x:f>
        <x:v>CHECK</x:v>
      </x:c>
      <x:c r="G5" s="7" t="str">
        <x:v>See DECISIONS</x:v>
      </x:c>
      <x:c r="H5" s="7" t="str">
        <x:v>Review</x:v>
      </x:c>
    </x:row>
    <x:row r="6">
      <x:c r="A6" s="7" t="str">
        <x:v>Defects</x:v>
      </x:c>
      <x:c r="B6" s="7" t="n">
        <x:f>COUNTIF('DEFECTS'!$H$5:$H$204,"Open")+COUNTIF('DEFECTS'!$H$5:$H$204,"Correction Required")</x:f>
        <x:v>0</x:v>
      </x:c>
      <x:c r="C6" s="7" t="n">
        <x:f>COUNTIF('DEFECTS'!$G$5:$G$204,"Critical")+COUNTIF('DEFECTS'!$G$5:$G$204,"High")</x:f>
        <x:v>0</x:v>
      </x:c>
      <x:c r="D6" s="34"/>
      <x:c r="E6" s="7" t="str">
        <x:v>No critical/high defects</x:v>
      </x:c>
      <x:c r="F6" s="7" t="str">
        <x:f>IF(C6=0,"CHECK","NOT MET")</x:f>
        <x:v>CHECK</x:v>
      </x:c>
      <x:c r="G6" s="7" t="str">
        <x:v>See DEFECTS</x:v>
      </x:c>
      <x:c r="H6" s="7" t="str">
        <x:v>Review</x:v>
      </x:c>
    </x:row>
    <x:row r="7">
      <x:c r="A7" s="7" t="str">
        <x:v>Risks</x:v>
      </x:c>
      <x:c r="B7" s="7" t="n">
        <x:f>COUNTIF('RISKS'!$H$5:$H$204,"Open")+COUNTIF('RISKS'!$H$5:$H$204,"Monitoring")</x:f>
        <x:v>0</x:v>
      </x:c>
      <x:c r="C7" s="7" t="n">
        <x:f>COUNTIF('RISKS'!$G$5:$G$204,"Critical")+COUNTIF('RISKS'!$G$5:$G$204,"High")</x:f>
        <x:v>0</x:v>
      </x:c>
      <x:c r="D7" s="34"/>
      <x:c r="E7" s="7" t="str">
        <x:v>Required approvals complete</x:v>
      </x:c>
      <x:c r="F7" s="7" t="str">
        <x:f>IF(B8=0,"CHECK","NOT MET")</x:f>
        <x:v>CHECK</x:v>
      </x:c>
      <x:c r="G7" s="7" t="str">
        <x:v>See APPROVALS</x:v>
      </x:c>
      <x:c r="H7" s="7" t="str">
        <x:v>Review</x:v>
      </x:c>
    </x:row>
    <x:row r="8">
      <x:c r="A8" s="7" t="str">
        <x:v>Approvals pending</x:v>
      </x:c>
      <x:c r="B8" s="7" t="n">
        <x:f>COUNTIF('APPROVALS'!$H$5:$H$204,"Pending")</x:f>
        <x:v>0</x:v>
      </x:c>
      <x:c r="C8" s="7" t="n">
        <x:f>COUNTIF('APPROVALS'!$G$5:$G$204,"Overdue")</x:f>
        <x:v>0</x:v>
      </x:c>
      <x:c r="D8" s="34"/>
      <x:c r="E8" s="7" t="str">
        <x:v>Independent acceptance</x:v>
      </x:c>
      <x:c r="F8" s="7" t="str">
        <x:f>IF(COUNTIF('EVIDENCE'!$J$5:$J$204,"Accepted")&gt;0,"CHECK","NOT MET")</x:f>
        <x:v>CHECK</x:v>
      </x:c>
      <x:c r="G8" s="7" t="str">
        <x:v>See EVIDENCE</x:v>
      </x:c>
      <x:c r="H8" s="7" t="str">
        <x:v>Review</x:v>
      </x:c>
    </x:row>
    <x:row r="9">
      <x:c r="A9" s="7" t="str">
        <x:v>Exceptions active</x:v>
      </x:c>
      <x:c r="B9" s="7" t="n">
        <x:f>COUNTIF('EXCEPTIONS'!$J$5:$J$204,"Active")</x:f>
        <x:v>0</x:v>
      </x:c>
      <x:c r="C9" s="7" t="n">
        <x:f>COUNTIF('EXCEPTIONS'!$I$5:$I$204,"Expired")</x:f>
        <x:v>0</x:v>
      </x:c>
      <x:c r="D9" s="34"/>
      <x:c r="E9" s="7" t="str">
        <x:v>Rollback/recovery proven</x:v>
      </x:c>
      <x:c r="F9" s="7" t="str">
        <x:f>IF(COUNTIF('EVIDENCE'!$D$5:$D$204,"Recovery")&gt;0,"CHECK","NOT MET")</x:f>
        <x:v>NOT MET</x:v>
      </x:c>
      <x:c r="G9" s="7" t="str">
        <x:v>See EVIDENCE</x:v>
      </x:c>
      <x:c r="H9" s="7" t="str">
        <x:v>Review</x:v>
      </x:c>
    </x:row>
    <x:row r="10">
      <x:c r="A10" s="7" t="str">
        <x:v>Evidence rejected</x:v>
      </x:c>
      <x:c r="B10" s="7" t="n">
        <x:f>COUNTIF('EVIDENCE'!$J$5:$J$204,"Rejected")</x:f>
        <x:v>0</x:v>
      </x:c>
      <x:c r="C10" s="7" t="n">
        <x:f>COUNTIF('EVIDENCE'!$J$5:$J$204,"Rejected")</x:f>
        <x:v>0</x:v>
      </x:c>
      <x:c r="D10" s="34"/>
      <x:c r="E10" s="7" t="str">
        <x:v>CEO authorisation</x:v>
      </x:c>
      <x:c r="F10" s="7" t="str">
        <x:f>IF(COUNTIF('CEO AUTHORISATION'!$J$5:$J$204,"AUTHORISED")&gt;0,"CHECK","NOT MET")</x:f>
        <x:v>NOT MET</x:v>
      </x:c>
      <x:c r="G10" s="7" t="str">
        <x:v>See CEO AUTHORISATION</x:v>
      </x:c>
      <x:c r="H10" s="7" t="str">
        <x:v>Exact candidate only</x:v>
      </x:c>
    </x:row>
    <x:row r="11">
      <x:c r="A11" s="7" t="str">
        <x:v>Content releases pending</x:v>
      </x:c>
      <x:c r="B11" s="7" t="n">
        <x:f>COUNTIF('CONTENT RELEASES'!$I$5:$I$204,"Pending")</x:f>
        <x:v>0</x:v>
      </x:c>
      <x:c r="C11" s="7" t="n">
        <x:f>COUNTIF('CONTENT RELEASES'!$J$5:$J$204,"Blocked")</x:f>
        <x:v>0</x:v>
      </x:c>
      <x:c r="D11" s="34"/>
      <x:c r="E11" s="34"/>
      <x:c r="F11" s="34"/>
      <x:c r="G11" s="34"/>
      <x:c r="H11" s="34"/>
    </x:row>
    <x:row r="12" ht="34" customHeight="1">
      <x:c r="A12" s="7" t="str">
        <x:v>Assessment cases open</x:v>
      </x:c>
      <x:c r="B12" s="7" t="n">
        <x:f>COUNTIF('ASSESSMENT INTEGRITY'!$I$5:$I$204,"Open")+COUNTIF('ASSESSMENT INTEGRITY'!$I$5:$I$204,"Held")</x:f>
        <x:v>0</x:v>
      </x:c>
      <x:c r="C12" s="7" t="n">
        <x:f>COUNTIF('ASSESSMENT INTEGRITY'!$H$5:$H$204,"Critical")</x:f>
        <x:v>0</x:v>
      </x:c>
      <x:c r="D12" s="34"/>
      <x:c r="E12" s="36" t="str">
        <x:f>IF(AND(C5=0,C6=0,B8=0,F5="CHECK",F6="CHECK",F7="CHECK",F8="CHECK",F9="CHECK",F10="CHECK"),"RELEASE EVIDENCE COMPLETE — VERIFY EXACT CANDIDATE","NOT AUTHORISED")</x:f>
        <x:v>NOT AUTHORISED</x:v>
      </x:c>
      <x:c r="F12" s="36"/>
      <x:c r="G12" s="36"/>
      <x:c r="H12" s="36"/>
    </x:row>
    <x:row r="13">
      <x:c r="A13" s="7" t="str">
        <x:v>Certification actions open</x:v>
      </x:c>
      <x:c r="B13" s="7" t="n">
        <x:f>COUNTIF('CERTIFICATIONS'!$I$5:$I$204,"Pending")+COUNTIF('CERTIFICATIONS'!$I$5:$I$204,"Suspended")</x:f>
        <x:v>0</x:v>
      </x:c>
      <x:c r="C13" s="7" t="n">
        <x:f>COUNTIF('CERTIFICATIONS'!$I$5:$I$204,"Revoked")</x:f>
        <x:v>0</x:v>
      </x:c>
      <x:c r="D13" s="34"/>
      <x:c r="E13" s="34"/>
      <x:c r="F13" s="34"/>
      <x:c r="G13" s="34"/>
      <x:c r="H13" s="34"/>
    </x:row>
    <x:row r="14">
      <x:c r="A14" s="7" t="str">
        <x:v>Event readiness risks</x:v>
      </x:c>
      <x:c r="B14" s="7" t="n">
        <x:f>COUNTIF('EVENT READINESS'!$I$5:$I$204,"Not Ready")+COUNTIF('EVENT READINESS'!$I$5:$I$204,"Unknown")+COUNTIF('EVENT READINESS'!$I$5:$I$204,"Stale")</x:f>
        <x:v>0</x:v>
      </x:c>
      <x:c r="C14" s="7" t="n">
        <x:f>COUNTIF('EVENT READINESS'!$H$5:$H$204,"Critical")</x:f>
        <x:v>0</x:v>
      </x:c>
      <x:c r="D14" s="34"/>
      <x:c r="E14" s="34"/>
      <x:c r="F14" s="34"/>
      <x:c r="G14" s="34"/>
      <x:c r="H14" s="34"/>
    </x:row>
  </x:sheetData>
  <x:mergeCells>
    <x:mergeCell ref="A1:H1"/>
    <x:mergeCell ref="A2:H2"/>
    <x:mergeCell ref="E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0" hidden="0" customWidth="1"/>
    <x:col min="4" max="4" width="35" hidden="0" customWidth="1"/>
    <x:col min="5" max="5" width="35" hidden="0" customWidth="1"/>
    <x:col min="6" max="6" width="20" hidden="0" customWidth="1"/>
    <x:col min="7" max="7" width="24" hidden="0" customWidth="1"/>
    <x:col min="8" max="8" width="16" hidden="0" customWidth="1"/>
    <x:col min="9" max="9" width="48" hidden="0" customWidth="1"/>
    <x:col min="10" max="10" width="24" hidden="0" customWidth="1"/>
    <x:col min="11" max="11" width="13" hidden="0" customWidth="1"/>
  </x:cols>
  <x:sheetData>
    <x:row r="1" ht="32" customHeight="1">
      <x:c r="A1" s="37" t="str">
        <x:v>DECISIONS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Material doctrine, architecture, academic, privacy, security and operational decisions.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Decision ID</x:v>
      </x:c>
      <x:c r="B4" s="28" t="str">
        <x:v>Opened</x:v>
      </x:c>
      <x:c r="C4" s="28" t="str">
        <x:v>Area</x:v>
      </x:c>
      <x:c r="D4" s="28" t="str">
        <x:v>Question</x:v>
      </x:c>
      <x:c r="E4" s="28" t="str">
        <x:v>Options considered</x:v>
      </x:c>
      <x:c r="F4" s="28" t="str">
        <x:v>Decision owner</x:v>
      </x:c>
      <x:c r="G4" s="28" t="str">
        <x:v>Evidence IDs</x:v>
      </x:c>
      <x:c r="H4" s="28" t="str">
        <x:v>Status</x:v>
      </x:c>
      <x:c r="I4" s="28" t="str">
        <x:v>Decision / rationale</x:v>
      </x:c>
      <x:c r="J4" s="28" t="str">
        <x:v>Effective / supersedes</x:v>
      </x:c>
      <x:c r="K4" s="28" t="str">
        <x:v>Closed</x:v>
      </x:c>
    </x:row>
    <x:row r="5">
      <x:c r="A5" s="32" t="str">
        <x:v>DEC-0001</x:v>
      </x:c>
      <x:c r="B5" s="32" t="str">
        <x:v>2026-09-03</x:v>
      </x:c>
      <x:c r="C5" s="32" t="str">
        <x:v>Canonical governance</x:v>
      </x:c>
      <x:c r="D5" s="32" t="str">
        <x:v>Adopt Academy canonical blueprint and control documents</x:v>
      </x:c>
      <x:c r="E5" s="32" t="str">
        <x:v>Adopt / amend / return</x:v>
      </x:c>
      <x:c r="F5" s="32" t="str">
        <x:v>CEO</x:v>
      </x:c>
      <x:c r="G5" s="32" t="str">
        <x:v>EVD-0001</x:v>
      </x:c>
      <x:c r="H5" s="32" t="str">
        <x:v>Adopted</x:v>
      </x:c>
      <x:c r="I5" s="32" t="str">
        <x:v>Ratified baseline for build and Academy operation.</x:v>
      </x:c>
      <x:c r="J5" s="32" t="str">
        <x:v>v1.0</x:v>
      </x:c>
      <x:c r="K5" s="32" t="str">
        <x:v>2026-09-03</x:v>
      </x:c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0" hidden="0" customWidth="1"/>
    <x:col min="4" max="4" width="45" hidden="0" customWidth="1"/>
    <x:col min="5" max="5" width="35" hidden="0" customWidth="1"/>
    <x:col min="6" max="6" width="20" hidden="0" customWidth="1"/>
    <x:col min="7" max="7" width="17" hidden="0" customWidth="1"/>
    <x:col min="8" max="8" width="14" hidden="0" customWidth="1"/>
    <x:col min="9" max="9" width="13" hidden="0" customWidth="1"/>
    <x:col min="10" max="10" width="16" hidden="0" customWidth="1"/>
    <x:col min="11" max="11" width="45" hidden="0" customWidth="1"/>
  </x:cols>
  <x:sheetData>
    <x:row r="1" ht="32" customHeight="1">
      <x:c r="A1" s="37" t="str">
        <x:v>OPEN QUESTIONS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Unresolved questions stop only the affected decision; each has an owner and latest-safe date.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Question ID</x:v>
      </x:c>
      <x:c r="B4" s="28" t="str">
        <x:v>Opened</x:v>
      </x:c>
      <x:c r="C4" s="28" t="str">
        <x:v>Area</x:v>
      </x:c>
      <x:c r="D4" s="28" t="str">
        <x:v>Question</x:v>
      </x:c>
      <x:c r="E4" s="28" t="str">
        <x:v>Why it matters</x:v>
      </x:c>
      <x:c r="F4" s="28" t="str">
        <x:v>Owner</x:v>
      </x:c>
      <x:c r="G4" s="28" t="str">
        <x:v>Status</x:v>
      </x:c>
      <x:c r="H4" s="28" t="str">
        <x:v>Priority</x:v>
      </x:c>
      <x:c r="I4" s="28" t="str">
        <x:v>Due</x:v>
      </x:c>
      <x:c r="J4" s="28" t="str">
        <x:v>Decision ID</x:v>
      </x:c>
      <x:c r="K4" s="28" t="str">
        <x:v>Resolution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8" hidden="0" customWidth="1"/>
    <x:col min="4" max="4" width="18" hidden="0" customWidth="1"/>
    <x:col min="5" max="5" width="42" hidden="0" customWidth="1"/>
    <x:col min="6" max="6" width="20" hidden="0" customWidth="1"/>
    <x:col min="7" max="7" width="14" hidden="0" customWidth="1"/>
    <x:col min="8" max="8" width="20" hidden="0" customWidth="1"/>
    <x:col min="9" max="9" width="24" hidden="0" customWidth="1"/>
    <x:col min="10" max="10" width="13" hidden="0" customWidth="1"/>
    <x:col min="11" max="11" width="45" hidden="0" customWidth="1"/>
  </x:cols>
  <x:sheetData>
    <x:row r="1" ht="32" customHeight="1">
      <x:c r="A1" s="37" t="str">
        <x:v>DEFECTS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Implementation, content, assessment, accessibility, security and operational defects.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Defect ID</x:v>
      </x:c>
      <x:c r="B4" s="28" t="str">
        <x:v>Found</x:v>
      </x:c>
      <x:c r="C4" s="28" t="str">
        <x:v>Slice/release</x:v>
      </x:c>
      <x:c r="D4" s="28" t="str">
        <x:v>Requirement</x:v>
      </x:c>
      <x:c r="E4" s="28" t="str">
        <x:v>Summary</x:v>
      </x:c>
      <x:c r="F4" s="28" t="str">
        <x:v>Owner</x:v>
      </x:c>
      <x:c r="G4" s="28" t="str">
        <x:v>Severity</x:v>
      </x:c>
      <x:c r="H4" s="28" t="str">
        <x:v>Status</x:v>
      </x:c>
      <x:c r="I4" s="28" t="str">
        <x:v>Evidence</x:v>
      </x:c>
      <x:c r="J4" s="28" t="str">
        <x:v>Target</x:v>
      </x:c>
      <x:c r="K4" s="28" t="str">
        <x:v>Resolution / regression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8" hidden="0" customWidth="1"/>
    <x:col min="4" max="4" width="35" hidden="0" customWidth="1"/>
    <x:col min="5" max="5" width="35" hidden="0" customWidth="1"/>
    <x:col min="6" max="6" width="20" hidden="0" customWidth="1"/>
    <x:col min="7" max="7" width="14" hidden="0" customWidth="1"/>
    <x:col min="8" max="8" width="16" hidden="0" customWidth="1"/>
    <x:col min="9" max="9" width="42" hidden="0" customWidth="1"/>
    <x:col min="10" max="10" width="30" hidden="0" customWidth="1"/>
    <x:col min="11" max="11" width="35" hidden="0" customWidth="1"/>
    <x:col min="12" max="12" width="13" hidden="0" customWidth="1"/>
  </x:cols>
  <x:sheetData>
    <x:row r="1" ht="32" customHeight="1">
      <x:c r="A1" s="37" t="str">
        <x:v>RISKS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26" customHeight="1">
      <x:c r="A2" s="23" t="str">
        <x:v>Academy threats, causes, consequences, controls, indicators and residual decisions.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 ht="30" customHeight="1">
      <x:c r="A4" s="28" t="str">
        <x:v>Risk ID</x:v>
      </x:c>
      <x:c r="B4" s="28" t="str">
        <x:v>Opened</x:v>
      </x:c>
      <x:c r="C4" s="28" t="str">
        <x:v>Domain</x:v>
      </x:c>
      <x:c r="D4" s="28" t="str">
        <x:v>Threat/cause</x:v>
      </x:c>
      <x:c r="E4" s="28" t="str">
        <x:v>Consequence</x:v>
      </x:c>
      <x:c r="F4" s="28" t="str">
        <x:v>Owner</x:v>
      </x:c>
      <x:c r="G4" s="28" t="str">
        <x:v>Rating</x:v>
      </x:c>
      <x:c r="H4" s="28" t="str">
        <x:v>Status</x:v>
      </x:c>
      <x:c r="I4" s="28" t="str">
        <x:v>Controls</x:v>
      </x:c>
      <x:c r="J4" s="28" t="str">
        <x:v>Indicator / trigger</x:v>
      </x:c>
      <x:c r="K4" s="28" t="str">
        <x:v>Residual / treatment</x:v>
      </x:c>
      <x:c r="L4" s="28" t="str">
        <x:v>Review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4" hidden="0" customWidth="1"/>
    <x:col min="4" max="4" width="30" hidden="0" customWidth="1"/>
    <x:col min="5" max="5" width="20" hidden="0" customWidth="1"/>
    <x:col min="6" max="6" width="25" hidden="0" customWidth="1"/>
    <x:col min="7" max="7" width="16" hidden="0" customWidth="1"/>
    <x:col min="8" max="8" width="16" hidden="0" customWidth="1"/>
    <x:col min="9" max="9" width="45" hidden="0" customWidth="1"/>
    <x:col min="10" max="10" width="24" hidden="0" customWidth="1"/>
    <x:col min="11" max="11" width="13" hidden="0" customWidth="1"/>
  </x:cols>
  <x:sheetData>
    <x:row r="1" ht="32" customHeight="1">
      <x:c r="A1" s="37" t="str">
        <x:v>APPROVALS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Exact, bounded approvals; administrative access is never academic or event authority.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Approval ID</x:v>
      </x:c>
      <x:c r="B4" s="28" t="str">
        <x:v>Requested</x:v>
      </x:c>
      <x:c r="C4" s="28" t="str">
        <x:v>Object/type</x:v>
      </x:c>
      <x:c r="D4" s="28" t="str">
        <x:v>Exact version/hash</x:v>
      </x:c>
      <x:c r="E4" s="28" t="str">
        <x:v>Requester</x:v>
      </x:c>
      <x:c r="F4" s="28" t="str">
        <x:v>Approver / role</x:v>
      </x:c>
      <x:c r="G4" s="28" t="str">
        <x:v>Due status</x:v>
      </x:c>
      <x:c r="H4" s="28" t="str">
        <x:v>Status</x:v>
      </x:c>
      <x:c r="I4" s="28" t="str">
        <x:v>Decision / conditions</x:v>
      </x:c>
      <x:c r="J4" s="28" t="str">
        <x:v>Evidence</x:v>
      </x:c>
      <x:c r="K4" s="28" t="str">
        <x:v>Date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0" hidden="0" customWidth="1"/>
    <x:col min="4" max="4" width="40" hidden="0" customWidth="1"/>
    <x:col min="5" max="5" width="35" hidden="0" customWidth="1"/>
    <x:col min="6" max="6" width="20" hidden="0" customWidth="1"/>
    <x:col min="7" max="7" width="20" hidden="0" customWidth="1"/>
    <x:col min="8" max="8" width="40" hidden="0" customWidth="1"/>
    <x:col min="9" max="9" width="16" hidden="0" customWidth="1"/>
    <x:col min="10" max="10" width="15" hidden="0" customWidth="1"/>
    <x:col min="11" max="11" width="35" hidden="0" customWidth="1"/>
  </x:cols>
  <x:sheetData>
    <x:row r="1" ht="32" customHeight="1">
      <x:c r="A1" s="37" t="str">
        <x:v>EXCEPTIONS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Time-bounded exceptions with compensating controls; hard laws cannot be waived.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Exception ID</x:v>
      </x:c>
      <x:c r="B4" s="28" t="str">
        <x:v>Opened</x:v>
      </x:c>
      <x:c r="C4" s="28" t="str">
        <x:v>Requirement</x:v>
      </x:c>
      <x:c r="D4" s="28" t="str">
        <x:v>Requested deviation</x:v>
      </x:c>
      <x:c r="E4" s="28" t="str">
        <x:v>Reason</x:v>
      </x:c>
      <x:c r="F4" s="28" t="str">
        <x:v>Owner</x:v>
      </x:c>
      <x:c r="G4" s="28" t="str">
        <x:v>Approver</x:v>
      </x:c>
      <x:c r="H4" s="28" t="str">
        <x:v>Compensating control</x:v>
      </x:c>
      <x:c r="I4" s="28" t="str">
        <x:v>Expiry state</x:v>
      </x:c>
      <x:c r="J4" s="28" t="str">
        <x:v>Status</x:v>
      </x:c>
      <x:c r="K4" s="28" t="str">
        <x:v>Evidence / closure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0" hidden="0" customWidth="1"/>
    <x:col min="4" max="4" width="18" hidden="0" customWidth="1"/>
    <x:col min="5" max="5" width="30" hidden="0" customWidth="1"/>
    <x:col min="6" max="6" width="20" hidden="0" customWidth="1"/>
    <x:col min="7" max="7" width="50" hidden="0" customWidth="1"/>
    <x:col min="8" max="8" width="35" hidden="0" customWidth="1"/>
    <x:col min="9" max="9" width="20" hidden="0" customWidth="1"/>
    <x:col min="10" max="10" width="16" hidden="0" customWidth="1"/>
    <x:col min="11" max="11" width="30" hidden="0" customWidth="1"/>
  </x:cols>
  <x:sheetData>
    <x:row r="1" ht="32" customHeight="1">
      <x:c r="A1" s="37" t="str">
        <x:v>EVIDENCE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Reproducible evidence for requirements, candidates, reviews and release gates.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Evidence ID</x:v>
      </x:c>
      <x:c r="B4" s="28" t="str">
        <x:v>Date</x:v>
      </x:c>
      <x:c r="C4" s="28" t="str">
        <x:v>Requirement</x:v>
      </x:c>
      <x:c r="D4" s="28" t="str">
        <x:v>Type</x:v>
      </x:c>
      <x:c r="E4" s="28" t="str">
        <x:v>Candidate/version</x:v>
      </x:c>
      <x:c r="F4" s="28" t="str">
        <x:v>Environment</x:v>
      </x:c>
      <x:c r="G4" s="28" t="str">
        <x:v>Procedure/result</x:v>
      </x:c>
      <x:c r="H4" s="28" t="str">
        <x:v>Artifact/reference</x:v>
      </x:c>
      <x:c r="I4" s="28" t="str">
        <x:v>Reviewer</x:v>
      </x:c>
      <x:c r="J4" s="28" t="str">
        <x:v>Decision</x:v>
      </x:c>
      <x:c r="K4" s="28" t="str">
        <x:v>Related IDs</x:v>
      </x:c>
    </x:row>
    <x:row r="5">
      <x:c r="A5" s="32" t="str">
        <x:v>EVD-0001</x:v>
      </x:c>
      <x:c r="B5" s="32" t="str">
        <x:v>2026-09-03</x:v>
      </x:c>
      <x:c r="C5" s="32" t="str">
        <x:v>Canonical baseline</x:v>
      </x:c>
      <x:c r="D5" s="32" t="str">
        <x:v>Ratification</x:v>
      </x:c>
      <x:c r="E5" s="32" t="str">
        <x:v>Academy canonical set v1.0</x:v>
      </x:c>
      <x:c r="F5" s="32" t="str">
        <x:v>Governance</x:v>
      </x:c>
      <x:c r="G5" s="32" t="str">
        <x:v>CEO ratification record and controlled document set</x:v>
      </x:c>
      <x:c r="H5" s="32" t="str">
        <x:v>Canonical document hashes</x:v>
      </x:c>
      <x:c r="I5" s="32" t="str">
        <x:v>CEO</x:v>
      </x:c>
      <x:c r="J5" s="32" t="str">
        <x:v>Accepted</x:v>
      </x:c>
      <x:c r="K5" s="32" t="str">
        <x:v>DEC-0001</x:v>
      </x:c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6" hidden="0" customWidth="1"/>
    <x:col min="4" max="4" width="32" hidden="0" customWidth="1"/>
    <x:col min="5" max="5" width="34" hidden="0" customWidth="1"/>
    <x:col min="6" max="6" width="28" hidden="0" customWidth="1"/>
    <x:col min="7" max="7" width="40" hidden="0" customWidth="1"/>
    <x:col min="8" max="8" width="20" hidden="0" customWidth="1"/>
    <x:col min="9" max="9" width="16" hidden="0" customWidth="1"/>
    <x:col min="10" max="10" width="16" hidden="0" customWidth="1"/>
    <x:col min="11" max="11" width="24" hidden="0" customWidth="1"/>
  </x:cols>
  <x:sheetData>
    <x:row r="1" ht="32" customHeight="1">
      <x:c r="A1" s="37" t="str">
        <x:v>CONTENT RELEASES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Knowledge, curriculum and course publication with exact approval and impact.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Release ID</x:v>
      </x:c>
      <x:c r="B4" s="28" t="str">
        <x:v>Object / module</x:v>
      </x:c>
      <x:c r="C4" s="28" t="str">
        <x:v>Version/hash</x:v>
      </x:c>
      <x:c r="D4" s="28" t="str">
        <x:v>Source baseline</x:v>
      </x:c>
      <x:c r="E4" s="28" t="str">
        <x:v>Competencies/roles</x:v>
      </x:c>
      <x:c r="F4" s="28" t="str">
        <x:v>Review bundle</x:v>
      </x:c>
      <x:c r="G4" s="28" t="str">
        <x:v>Impact/reassignment</x:v>
      </x:c>
      <x:c r="H4" s="28" t="str">
        <x:v>Publisher</x:v>
      </x:c>
      <x:c r="I4" s="28" t="str">
        <x:v>Status</x:v>
      </x:c>
      <x:c r="J4" s="28" t="str">
        <x:v>Gate</x:v>
      </x:c>
      <x:c r="K4" s="28" t="str">
        <x:v>Published / supersedes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8" hidden="0" customWidth="1"/>
    <x:col min="4" max="4" width="24" hidden="0" customWidth="1"/>
    <x:col min="5" max="5" width="38" hidden="0" customWidth="1"/>
    <x:col min="6" max="6" width="20" hidden="0" customWidth="1"/>
    <x:col min="7" max="7" width="42" hidden="0" customWidth="1"/>
    <x:col min="8" max="8" width="14" hidden="0" customWidth="1"/>
    <x:col min="9" max="9" width="16" hidden="0" customWidth="1"/>
    <x:col min="10" max="10" width="38" hidden="0" customWidth="1"/>
    <x:col min="11" max="11" width="13" hidden="0" customWidth="1"/>
  </x:cols>
  <x:sheetData>
    <x:row r="1" ht="32" customHeight="1">
      <x:c r="A1" s="37" t="str">
        <x:v>ASSESSMENT INTEGRITY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Question-bank, exposure, attempt, marking, moderation and appeal cases.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Case ID</x:v>
      </x:c>
      <x:c r="B4" s="28" t="str">
        <x:v>Opened</x:v>
      </x:c>
      <x:c r="C4" s="28" t="str">
        <x:v>Assessment/form</x:v>
      </x:c>
      <x:c r="D4" s="28" t="str">
        <x:v>Issue type</x:v>
      </x:c>
      <x:c r="E4" s="28" t="str">
        <x:v>Affected versions/attempts</x:v>
      </x:c>
      <x:c r="F4" s="28" t="str">
        <x:v>Owner</x:v>
      </x:c>
      <x:c r="G4" s="28" t="str">
        <x:v>Action / containment</x:v>
      </x:c>
      <x:c r="H4" s="28" t="str">
        <x:v>Severity</x:v>
      </x:c>
      <x:c r="I4" s="28" t="str">
        <x:v>Status</x:v>
      </x:c>
      <x:c r="J4" s="28" t="str">
        <x:v>Evidence / outcome</x:v>
      </x:c>
      <x:c r="K4" s="28" t="str">
        <x:v>Closed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30" hidden="0" customWidth="1"/>
    <x:col min="4" max="4" width="20" hidden="0" customWidth="1"/>
    <x:col min="5" max="5" width="38" hidden="0" customWidth="1"/>
    <x:col min="6" max="6" width="22" hidden="0" customWidth="1"/>
    <x:col min="7" max="7" width="24" hidden="0" customWidth="1"/>
    <x:col min="8" max="8" width="28" hidden="0" customWidth="1"/>
    <x:col min="9" max="9" width="17" hidden="0" customWidth="1"/>
    <x:col min="10" max="10" width="28" hidden="0" customWidth="1"/>
  </x:cols>
  <x:sheetData>
    <x:row r="1" ht="32" customHeight="1">
      <x:c r="A1" s="37" t="str">
        <x:v>CERTIFICATIONS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 ht="26" customHeight="1">
      <x:c r="A2" s="23" t="str">
        <x:v>Scheme and certificate lifecycle controls. Do not store unnecessary learner details here.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 ht="30" customHeight="1">
      <x:c r="A4" s="28" t="str">
        <x:v>Action ID</x:v>
      </x:c>
      <x:c r="B4" s="28" t="str">
        <x:v>Date</x:v>
      </x:c>
      <x:c r="C4" s="28" t="str">
        <x:v>Scheme/certificate ref</x:v>
      </x:c>
      <x:c r="D4" s="28" t="str">
        <x:v>Action</x:v>
      </x:c>
      <x:c r="E4" s="28" t="str">
        <x:v>Basis/dependencies</x:v>
      </x:c>
      <x:c r="F4" s="28" t="str">
        <x:v>Authority</x:v>
      </x:c>
      <x:c r="G4" s="28" t="str">
        <x:v>Effective/expiry</x:v>
      </x:c>
      <x:c r="H4" s="28" t="str">
        <x:v>Evidence</x:v>
      </x:c>
      <x:c r="I4" s="28" t="str">
        <x:v>Status</x:v>
      </x:c>
      <x:c r="J4" s="28" t="str">
        <x:v>Related readiness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30" hidden="0" customWidth="1"/>
    <x:col min="5" max="5" width="42" hidden="0" customWidth="1"/>
    <x:col min="6" max="6" width="20" hidden="0" customWidth="1"/>
    <x:col min="7" max="7" width="30" hidden="0" customWidth="1"/>
    <x:col min="8" max="8" width="14" hidden="0" customWidth="1"/>
    <x:col min="9" max="9" width="17" hidden="0" customWidth="1"/>
    <x:col min="10" max="10" width="20" hidden="0" customWidth="1"/>
    <x:col min="11" max="11" width="35" hidden="0" customWidth="1"/>
  </x:cols>
  <x:sheetData>
    <x:row r="1" ht="32" customHeight="1">
      <x:c r="A1" s="37" t="str">
        <x:v>EVENT READINESS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Event-scoped training readiness only; MD-EOS retains final deployment authority.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Readiness ID</x:v>
      </x:c>
      <x:c r="B4" s="28" t="str">
        <x:v>Event ref</x:v>
      </x:c>
      <x:c r="C4" s="28" t="str">
        <x:v>Package version</x:v>
      </x:c>
      <x:c r="D4" s="28" t="str">
        <x:v>Person/role ref</x:v>
      </x:c>
      <x:c r="E4" s="28" t="str">
        <x:v>Requirement/gap</x:v>
      </x:c>
      <x:c r="F4" s="28" t="str">
        <x:v>Owner</x:v>
      </x:c>
      <x:c r="G4" s="28" t="str">
        <x:v>Latest safe action</x:v>
      </x:c>
      <x:c r="H4" s="28" t="str">
        <x:v>Priority</x:v>
      </x:c>
      <x:c r="I4" s="28" t="str">
        <x:v>Status</x:v>
      </x:c>
      <x:c r="J4" s="28" t="str">
        <x:v>Fresh as at</x:v>
      </x:c>
      <x:c r="K4" s="28" t="str">
        <x:v>OS receipt / resolution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6" hidden="0" customWidth="1"/>
    <x:col min="4" max="4" width="28" hidden="0" customWidth="1"/>
    <x:col min="5" max="5" width="34" hidden="0" customWidth="1"/>
    <x:col min="6" max="6" width="40" hidden="0" customWidth="1"/>
    <x:col min="7" max="7" width="20" hidden="0" customWidth="1"/>
    <x:col min="8" max="8" width="17" hidden="0" customWidth="1"/>
    <x:col min="9" max="9" width="35" hidden="0" customWidth="1"/>
    <x:col min="10" max="10" width="18" hidden="0" customWidth="1"/>
    <x:col min="11" max="11" width="38" hidden="0" customWidth="1"/>
  </x:cols>
  <x:sheetData>
    <x:row r="1" ht="32" customHeight="1">
      <x:c r="A1" s="37" t="str">
        <x:v>INTEGRATIONS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MD-EOS /integration/v1 delivery, freshness, mismatch and reconciliation cases.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Case ID</x:v>
      </x:c>
      <x:c r="B4" s="28" t="str">
        <x:v>Opened</x:v>
      </x:c>
      <x:c r="C4" s="28" t="str">
        <x:v>Event/package</x:v>
      </x:c>
      <x:c r="D4" s="28" t="str">
        <x:v>Direction/schema</x:v>
      </x:c>
      <x:c r="E4" s="28" t="str">
        <x:v>Correlation/idempotency</x:v>
      </x:c>
      <x:c r="F4" s="28" t="str">
        <x:v>Issue</x:v>
      </x:c>
      <x:c r="G4" s="28" t="str">
        <x:v>Owner</x:v>
      </x:c>
      <x:c r="H4" s="28" t="str">
        <x:v>Status</x:v>
      </x:c>
      <x:c r="I4" s="28" t="str">
        <x:v>Retry/reconcile</x:v>
      </x:c>
      <x:c r="J4" s="28" t="str">
        <x:v>Freshness</x:v>
      </x:c>
      <x:c r="K4" s="28" t="str">
        <x:v>Evidence / closure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8" hidden="0" customWidth="1"/>
    <x:col min="4" max="4" width="42" hidden="0" customWidth="1"/>
    <x:col min="5" max="5" width="18" hidden="0" customWidth="1"/>
    <x:col min="6" max="6" width="42" hidden="0" customWidth="1"/>
    <x:col min="7" max="7" width="20" hidden="0" customWidth="1"/>
    <x:col min="8" max="8" width="32" hidden="0" customWidth="1"/>
    <x:col min="9" max="9" width="16" hidden="0" customWidth="1"/>
    <x:col min="10" max="10" width="16" hidden="0" customWidth="1"/>
    <x:col min="11" max="11" width="38" hidden="0" customWidth="1"/>
  </x:cols>
  <x:sheetData>
    <x:row r="1" ht="32" customHeight="1">
      <x:c r="A1" s="37" t="str">
        <x:v>CHANGES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Material changes and their content, assessment, certificate, readiness and learner impact.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Change ID</x:v>
      </x:c>
      <x:c r="B4" s="28" t="str">
        <x:v>Raised</x:v>
      </x:c>
      <x:c r="C4" s="28" t="str">
        <x:v>Object/version</x:v>
      </x:c>
      <x:c r="D4" s="28" t="str">
        <x:v>Change summary</x:v>
      </x:c>
      <x:c r="E4" s="28" t="str">
        <x:v>Materiality</x:v>
      </x:c>
      <x:c r="F4" s="28" t="str">
        <x:v>Affected links</x:v>
      </x:c>
      <x:c r="G4" s="28" t="str">
        <x:v>Owner</x:v>
      </x:c>
      <x:c r="H4" s="28" t="str">
        <x:v>Review/approval</x:v>
      </x:c>
      <x:c r="I4" s="28" t="str">
        <x:v>Status</x:v>
      </x:c>
      <x:c r="J4" s="28" t="str">
        <x:v>Effective</x:v>
      </x:c>
      <x:c r="K4" s="28" t="str">
        <x:v>Verification / rollback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35" hidden="0" customWidth="1"/>
    <x:col min="4" max="4" width="35" hidden="0" customWidth="1"/>
    <x:col min="5" max="5" width="30" hidden="0" customWidth="1"/>
    <x:col min="6" max="6" width="30" hidden="0" customWidth="1"/>
    <x:col min="7" max="7" width="28" hidden="0" customWidth="1"/>
    <x:col min="8" max="8" width="35" hidden="0" customWidth="1"/>
    <x:col min="9" max="9" width="17" hidden="0" customWidth="1"/>
    <x:col min="10" max="10" width="20" hidden="0" customWidth="1"/>
    <x:col min="11" max="11" width="24" hidden="0" customWidth="1"/>
  </x:cols>
  <x:sheetData>
    <x:row r="1" ht="32" customHeight="1">
      <x:c r="A1" s="37" t="str">
        <x:v>RELEASES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Build, content and combined release candidates with exact gates and rollback.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Release ID</x:v>
      </x:c>
      <x:c r="B4" s="28" t="str">
        <x:v>Candidate/hash</x:v>
      </x:c>
      <x:c r="C4" s="28" t="str">
        <x:v>Scope</x:v>
      </x:c>
      <x:c r="D4" s="28" t="str">
        <x:v>Migrations/content</x:v>
      </x:c>
      <x:c r="E4" s="28" t="str">
        <x:v>Acceptance evidence</x:v>
      </x:c>
      <x:c r="F4" s="28" t="str">
        <x:v>Defects/risks</x:v>
      </x:c>
      <x:c r="G4" s="28" t="str">
        <x:v>Approvals</x:v>
      </x:c>
      <x:c r="H4" s="28" t="str">
        <x:v>Rollback/recovery</x:v>
      </x:c>
      <x:c r="I4" s="28" t="str">
        <x:v>Status</x:v>
      </x:c>
      <x:c r="J4" s="28" t="str">
        <x:v>CEO auth ID</x:v>
      </x:c>
      <x:c r="K4" s="28" t="str">
        <x:v>Released / review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4" hidden="0" customWidth="1"/>
    <x:col min="4" max="4" width="40" hidden="0" customWidth="1"/>
    <x:col min="5" max="5" width="42" hidden="0" customWidth="1"/>
    <x:col min="6" max="6" width="32" hidden="0" customWidth="1"/>
    <x:col min="7" max="7" width="35" hidden="0" customWidth="1"/>
    <x:col min="8" max="8" width="35" hidden="0" customWidth="1"/>
    <x:col min="9" max="9" width="28" hidden="0" customWidth="1"/>
    <x:col min="10" max="10" width="18" hidden="0" customWidth="1"/>
    <x:col min="11" max="11" width="30" hidden="0" customWidth="1"/>
  </x:cols>
  <x:sheetData>
    <x:row r="1" ht="32" customHeight="1">
      <x:c r="A1" s="37" t="str">
        <x:v>CEO AUTHORISATION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6" customHeight="1">
      <x:c r="A2" s="23" t="str">
        <x:v>CEO decisions for exact Academy candidates and reserved organisational actions.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28" t="str">
        <x:v>Authorisation ID</x:v>
      </x:c>
      <x:c r="B4" s="28" t="str">
        <x:v>Date</x:v>
      </x:c>
      <x:c r="C4" s="28" t="str">
        <x:v>Decision type</x:v>
      </x:c>
      <x:c r="D4" s="28" t="str">
        <x:v>Exact scope/candidate</x:v>
      </x:c>
      <x:c r="E4" s="28" t="str">
        <x:v>Evidence considered</x:v>
      </x:c>
      <x:c r="F4" s="28" t="str">
        <x:v>Specialist concurrence</x:v>
      </x:c>
      <x:c r="G4" s="28" t="str">
        <x:v>Risks/exceptions</x:v>
      </x:c>
      <x:c r="H4" s="28" t="str">
        <x:v>Conditions/expiry</x:v>
      </x:c>
      <x:c r="I4" s="28" t="str">
        <x:v>Rollback</x:v>
      </x:c>
      <x:c r="J4" s="28" t="str">
        <x:v>Decision</x:v>
      </x:c>
      <x:c r="K4" s="28" t="str">
        <x:v>CEO record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70" hidden="0" customWidth="1"/>
  </x:cols>
  <x:sheetData>
    <x:row r="1" ht="32" customHeight="1">
      <x:c r="A1" s="37" t="str">
        <x:v>CONTROLLED LISTS</x:v>
      </x:c>
      <x:c r="B1" s="37"/>
      <x:c r="C1" s="37"/>
    </x:row>
    <x:row r="2" ht="26" customHeight="1">
      <x:c r="A2" s="23" t="str">
        <x:v>Use these values consistently; extend only through an approved governance change.</x:v>
      </x:c>
      <x:c r="B2" s="23"/>
      <x:c r="C2" s="23"/>
    </x:row>
    <x:row r="3">
      <x:c r="A3" s="34"/>
      <x:c r="B3" s="34"/>
      <x:c r="C3" s="34"/>
    </x:row>
    <x:row r="4" ht="30" customHeight="1">
      <x:c r="A4" s="28" t="str">
        <x:v>Category</x:v>
      </x:c>
      <x:c r="B4" s="28" t="str">
        <x:v>Value</x:v>
      </x:c>
      <x:c r="C4" s="28" t="str">
        <x:v>Meaning</x:v>
      </x:c>
    </x:row>
    <x:row r="5">
      <x:c r="A5" s="32" t="str">
        <x:v>Decision status</x:v>
      </x:c>
      <x:c r="B5" s="32" t="str">
        <x:v>Open</x:v>
      </x:c>
      <x:c r="C5" s="32" t="str">
        <x:v>Awaiting authorised decision</x:v>
      </x:c>
    </x:row>
    <x:row r="6">
      <x:c r="A6" s="32" t="str">
        <x:v>Decision status</x:v>
      </x:c>
      <x:c r="B6" s="32" t="str">
        <x:v>Adopted</x:v>
      </x:c>
      <x:c r="C6" s="32" t="str">
        <x:v>Current governing decision</x:v>
      </x:c>
    </x:row>
    <x:row r="7">
      <x:c r="A7" s="32" t="str">
        <x:v>Decision status</x:v>
      </x:c>
      <x:c r="B7" s="32" t="str">
        <x:v>Superseded</x:v>
      </x:c>
      <x:c r="C7" s="32" t="str">
        <x:v>Replaced with lineage</x:v>
      </x:c>
    </x:row>
    <x:row r="8">
      <x:c r="A8" s="32" t="str">
        <x:v>Work status</x:v>
      </x:c>
      <x:c r="B8" s="32" t="str">
        <x:v>Open</x:v>
      </x:c>
      <x:c r="C8" s="32" t="str">
        <x:v>Action required</x:v>
      </x:c>
    </x:row>
    <x:row r="9">
      <x:c r="A9" s="32" t="str">
        <x:v>Work status</x:v>
      </x:c>
      <x:c r="B9" s="32" t="str">
        <x:v>Monitoring</x:v>
      </x:c>
      <x:c r="C9" s="32" t="str">
        <x:v>Control active and reviewed</x:v>
      </x:c>
    </x:row>
    <x:row r="10">
      <x:c r="A10" s="32" t="str">
        <x:v>Work status</x:v>
      </x:c>
      <x:c r="B10" s="32" t="str">
        <x:v>Correction Required</x:v>
      </x:c>
      <x:c r="C10" s="32" t="str">
        <x:v>Acceptance failed pending correction</x:v>
      </x:c>
    </x:row>
    <x:row r="11">
      <x:c r="A11" s="32" t="str">
        <x:v>Work status</x:v>
      </x:c>
      <x:c r="B11" s="32" t="str">
        <x:v>Closed</x:v>
      </x:c>
      <x:c r="C11" s="32" t="str">
        <x:v>Verified outcome recorded</x:v>
      </x:c>
    </x:row>
    <x:row r="12">
      <x:c r="A12" s="32" t="str">
        <x:v>Approval</x:v>
      </x:c>
      <x:c r="B12" s="32" t="str">
        <x:v>Pending</x:v>
      </x:c>
      <x:c r="C12" s="32" t="str">
        <x:v>No authority yet</x:v>
      </x:c>
    </x:row>
    <x:row r="13">
      <x:c r="A13" s="32" t="str">
        <x:v>Approval</x:v>
      </x:c>
      <x:c r="B13" s="32" t="str">
        <x:v>Approved</x:v>
      </x:c>
      <x:c r="C13" s="32" t="str">
        <x:v>Exact object/version approved</x:v>
      </x:c>
    </x:row>
    <x:row r="14">
      <x:c r="A14" s="32" t="str">
        <x:v>Approval</x:v>
      </x:c>
      <x:c r="B14" s="32" t="str">
        <x:v>Rejected</x:v>
      </x:c>
      <x:c r="C14" s="32" t="str">
        <x:v>Not approved</x:v>
      </x:c>
    </x:row>
    <x:row r="15">
      <x:c r="A15" s="32" t="str">
        <x:v>Evidence</x:v>
      </x:c>
      <x:c r="B15" s="32" t="str">
        <x:v>Accepted</x:v>
      </x:c>
      <x:c r="C15" s="32" t="str">
        <x:v>Reproducible and sufficient</x:v>
      </x:c>
    </x:row>
    <x:row r="16">
      <x:c r="A16" s="32" t="str">
        <x:v>Evidence</x:v>
      </x:c>
      <x:c r="B16" s="32" t="str">
        <x:v>Rejected</x:v>
      </x:c>
      <x:c r="C16" s="32" t="str">
        <x:v>Insufficient, invalid or contradicted</x:v>
      </x:c>
    </x:row>
    <x:row r="17">
      <x:c r="A17" s="32" t="str">
        <x:v>Readiness</x:v>
      </x:c>
      <x:c r="B17" s="32" t="str">
        <x:v>Ready</x:v>
      </x:c>
      <x:c r="C17" s="32" t="str">
        <x:v>Training evidence current; not deployment authority</x:v>
      </x:c>
    </x:row>
    <x:row r="18">
      <x:c r="A18" s="32" t="str">
        <x:v>Readiness</x:v>
      </x:c>
      <x:c r="B18" s="32" t="str">
        <x:v>Not Ready</x:v>
      </x:c>
      <x:c r="C18" s="32" t="str">
        <x:v>Known unmet requirement</x:v>
      </x:c>
    </x:row>
    <x:row r="19">
      <x:c r="A19" s="32" t="str">
        <x:v>Readiness</x:v>
      </x:c>
      <x:c r="B19" s="32" t="str">
        <x:v>Pending</x:v>
      </x:c>
      <x:c r="C19" s="32" t="str">
        <x:v>Required work/decision incomplete</x:v>
      </x:c>
    </x:row>
    <x:row r="20">
      <x:c r="A20" s="32" t="str">
        <x:v>Readiness</x:v>
      </x:c>
      <x:c r="B20" s="32" t="str">
        <x:v>Unknown</x:v>
      </x:c>
      <x:c r="C20" s="32" t="str">
        <x:v>Evidence missing/unavailable</x:v>
      </x:c>
    </x:row>
    <x:row r="21">
      <x:c r="A21" s="32" t="str">
        <x:v>Readiness</x:v>
      </x:c>
      <x:c r="B21" s="32" t="str">
        <x:v>Stale</x:v>
      </x:c>
      <x:c r="C21" s="32" t="str">
        <x:v>Previously known but freshness invalid</x:v>
      </x:c>
    </x:row>
    <x:row r="22">
      <x:c r="A22" s="32" t="str">
        <x:v>Severity</x:v>
      </x:c>
      <x:c r="B22" s="32" t="str">
        <x:v>Critical</x:v>
      </x:c>
      <x:c r="C22" s="32" t="str">
        <x:v>Blocks acceptance/release</x:v>
      </x:c>
    </x:row>
    <x:row r="23">
      <x:c r="A23" s="32" t="str">
        <x:v>Severity</x:v>
      </x:c>
      <x:c r="B23" s="32" t="str">
        <x:v>High</x:v>
      </x:c>
      <x:c r="C23" s="32" t="str">
        <x:v>Blocks acceptance/release</x:v>
      </x:c>
    </x:row>
    <x:row r="24">
      <x:c r="A24" s="32" t="str">
        <x:v>Severity</x:v>
      </x:c>
      <x:c r="B24" s="32" t="str">
        <x:v>Medium</x:v>
      </x:c>
      <x:c r="C24" s="32" t="str">
        <x:v>Material controlled correction</x:v>
      </x:c>
    </x:row>
    <x:row r="25">
      <x:c r="A25" s="32" t="str">
        <x:v>Severity</x:v>
      </x:c>
      <x:c r="B25" s="32" t="str">
        <x:v>Low</x:v>
      </x:c>
      <x:c r="C25" s="32" t="str">
        <x:v>Minor controlled correction</x:v>
      </x:c>
    </x:row>
    <x:row r="26">
      <x:c r="A26" s="32" t="str">
        <x:v>CEO decision</x:v>
      </x:c>
      <x:c r="B26" s="32" t="str">
        <x:v>AUTHORISED</x:v>
      </x:c>
      <x:c r="C26" s="32" t="str">
        <x:v>Exact bounded candidate authorised</x:v>
      </x:c>
    </x:row>
    <x:row r="27">
      <x:c r="A27" s="32" t="str">
        <x:v>CEO decision</x:v>
      </x:c>
      <x:c r="B27" s="32" t="str">
        <x:v>NOT AUTHORISED</x:v>
      </x:c>
      <x:c r="C27" s="32" t="str">
        <x:v>Production activation prohibited</x:v>
      </x:c>
    </x:row>
    <x:row r="28">
      <x:c r="A28" s="32"/>
      <x:c r="B28" s="32"/>
      <x:c r="C28" s="32"/>
    </x:row>
    <x:row r="29">
      <x:c r="A29" s="32"/>
      <x:c r="B29" s="32"/>
      <x:c r="C29" s="32"/>
    </x:row>
    <x:row r="30">
      <x:c r="A30" s="32"/>
      <x:c r="B30" s="32"/>
      <x:c r="C30" s="32"/>
    </x:row>
    <x:row r="31">
      <x:c r="A31" s="32"/>
      <x:c r="B31" s="32"/>
      <x:c r="C31" s="32"/>
    </x:row>
    <x:row r="32">
      <x:c r="A32" s="32"/>
      <x:c r="B32" s="32"/>
      <x:c r="C32" s="32"/>
    </x:row>
    <x:row r="33">
      <x:c r="A33" s="32"/>
      <x:c r="B33" s="32"/>
      <x:c r="C33" s="32"/>
    </x:row>
    <x:row r="34">
      <x:c r="A34" s="32"/>
      <x:c r="B34" s="32"/>
      <x:c r="C34" s="32"/>
    </x:row>
    <x:row r="35">
      <x:c r="A35" s="32"/>
      <x:c r="B35" s="32"/>
      <x:c r="C35" s="32"/>
    </x:row>
    <x:row r="36">
      <x:c r="A36" s="32"/>
      <x:c r="B36" s="32"/>
      <x:c r="C36" s="32"/>
    </x:row>
    <x:row r="37">
      <x:c r="A37" s="32"/>
      <x:c r="B37" s="32"/>
      <x:c r="C37" s="32"/>
    </x:row>
    <x:row r="38">
      <x:c r="A38" s="32"/>
      <x:c r="B38" s="32"/>
      <x:c r="C38" s="32"/>
    </x:row>
    <x:row r="39">
      <x:c r="A39" s="32"/>
      <x:c r="B39" s="32"/>
      <x:c r="C39" s="32"/>
    </x:row>
    <x:row r="40">
      <x:c r="A40" s="32"/>
      <x:c r="B40" s="32"/>
      <x:c r="C40" s="32"/>
    </x:row>
    <x:row r="41">
      <x:c r="A41" s="32"/>
      <x:c r="B41" s="32"/>
      <x:c r="C41" s="32"/>
    </x:row>
    <x:row r="42">
      <x:c r="A42" s="32"/>
      <x:c r="B42" s="32"/>
      <x:c r="C42" s="32"/>
    </x:row>
    <x:row r="43">
      <x:c r="A43" s="32"/>
      <x:c r="B43" s="32"/>
      <x:c r="C43" s="32"/>
    </x:row>
    <x:row r="44">
      <x:c r="A44" s="32"/>
      <x:c r="B44" s="32"/>
      <x:c r="C44" s="32"/>
    </x:row>
    <x:row r="45">
      <x:c r="A45" s="32"/>
      <x:c r="B45" s="32"/>
      <x:c r="C45" s="32"/>
    </x:row>
    <x:row r="46">
      <x:c r="A46" s="32"/>
      <x:c r="B46" s="32"/>
      <x:c r="C46" s="32"/>
    </x:row>
    <x:row r="47">
      <x:c r="A47" s="32"/>
      <x:c r="B47" s="32"/>
      <x:c r="C47" s="32"/>
    </x:row>
    <x:row r="48">
      <x:c r="A48" s="32"/>
      <x:c r="B48" s="32"/>
      <x:c r="C48" s="32"/>
    </x:row>
    <x:row r="49">
      <x:c r="A49" s="32"/>
      <x:c r="B49" s="32"/>
      <x:c r="C49" s="32"/>
    </x:row>
    <x:row r="50">
      <x:c r="A50" s="32"/>
      <x:c r="B50" s="32"/>
      <x:c r="C50" s="32"/>
    </x:row>
    <x:row r="51">
      <x:c r="A51" s="32"/>
      <x:c r="B51" s="32"/>
      <x:c r="C51" s="32"/>
    </x:row>
    <x:row r="52">
      <x:c r="A52" s="32"/>
      <x:c r="B52" s="32"/>
      <x:c r="C52" s="32"/>
    </x:row>
    <x:row r="53">
      <x:c r="A53" s="32"/>
      <x:c r="B53" s="32"/>
      <x:c r="C53" s="32"/>
    </x:row>
    <x:row r="54">
      <x:c r="A54" s="32"/>
      <x:c r="B54" s="32"/>
      <x:c r="C54" s="32"/>
    </x:row>
    <x:row r="55">
      <x:c r="A55" s="32"/>
      <x:c r="B55" s="32"/>
      <x:c r="C55" s="32"/>
    </x:row>
    <x:row r="56">
      <x:c r="A56" s="32"/>
      <x:c r="B56" s="32"/>
      <x:c r="C56" s="32"/>
    </x:row>
    <x:row r="57">
      <x:c r="A57" s="32"/>
      <x:c r="B57" s="32"/>
      <x:c r="C57" s="32"/>
    </x:row>
    <x:row r="58">
      <x:c r="A58" s="32"/>
      <x:c r="B58" s="32"/>
      <x:c r="C58" s="32"/>
    </x:row>
    <x:row r="59">
      <x:c r="A59" s="32"/>
      <x:c r="B59" s="32"/>
      <x:c r="C59" s="32"/>
    </x:row>
    <x:row r="60">
      <x:c r="A60" s="32"/>
      <x:c r="B60" s="32"/>
      <x:c r="C60" s="32"/>
    </x:row>
    <x:row r="61">
      <x:c r="A61" s="32"/>
      <x:c r="B61" s="32"/>
      <x:c r="C61" s="32"/>
    </x:row>
    <x:row r="62">
      <x:c r="A62" s="32"/>
      <x:c r="B62" s="32"/>
      <x:c r="C62" s="32"/>
    </x:row>
    <x:row r="63">
      <x:c r="A63" s="32"/>
      <x:c r="B63" s="32"/>
      <x:c r="C63" s="32"/>
    </x:row>
    <x:row r="64">
      <x:c r="A64" s="32"/>
      <x:c r="B64" s="32"/>
      <x:c r="C64" s="32"/>
    </x:row>
    <x:row r="65">
      <x:c r="A65" s="32"/>
      <x:c r="B65" s="32"/>
      <x:c r="C65" s="32"/>
    </x:row>
    <x:row r="66">
      <x:c r="A66" s="32"/>
      <x:c r="B66" s="32"/>
      <x:c r="C66" s="32"/>
    </x:row>
    <x:row r="67">
      <x:c r="A67" s="32"/>
      <x:c r="B67" s="32"/>
      <x:c r="C67" s="32"/>
    </x:row>
    <x:row r="68">
      <x:c r="A68" s="32"/>
      <x:c r="B68" s="32"/>
      <x:c r="C68" s="32"/>
    </x:row>
    <x:row r="69">
      <x:c r="A69" s="32"/>
      <x:c r="B69" s="32"/>
      <x:c r="C69" s="32"/>
    </x:row>
    <x:row r="70">
      <x:c r="A70" s="32"/>
      <x:c r="B70" s="32"/>
      <x:c r="C70" s="32"/>
    </x:row>
    <x:row r="71">
      <x:c r="A71" s="32"/>
      <x:c r="B71" s="32"/>
      <x:c r="C71" s="32"/>
    </x:row>
    <x:row r="72">
      <x:c r="A72" s="32"/>
      <x:c r="B72" s="32"/>
      <x:c r="C72" s="32"/>
    </x:row>
    <x:row r="73">
      <x:c r="A73" s="32"/>
      <x:c r="B73" s="32"/>
      <x:c r="C73" s="32"/>
    </x:row>
    <x:row r="74">
      <x:c r="A74" s="32"/>
      <x:c r="B74" s="32"/>
      <x:c r="C74" s="32"/>
    </x:row>
    <x:row r="75">
      <x:c r="A75" s="32"/>
      <x:c r="B75" s="32"/>
      <x:c r="C75" s="32"/>
    </x:row>
    <x:row r="76">
      <x:c r="A76" s="32"/>
      <x:c r="B76" s="32"/>
      <x:c r="C76" s="32"/>
    </x:row>
    <x:row r="77">
      <x:c r="A77" s="32"/>
      <x:c r="B77" s="32"/>
      <x:c r="C77" s="32"/>
    </x:row>
    <x:row r="78">
      <x:c r="A78" s="32"/>
      <x:c r="B78" s="32"/>
      <x:c r="C78" s="32"/>
    </x:row>
    <x:row r="79">
      <x:c r="A79" s="32"/>
      <x:c r="B79" s="32"/>
      <x:c r="C79" s="32"/>
    </x:row>
    <x:row r="80">
      <x:c r="A80" s="32"/>
      <x:c r="B80" s="32"/>
      <x:c r="C80" s="32"/>
    </x:row>
    <x:row r="81">
      <x:c r="A81" s="32"/>
      <x:c r="B81" s="32"/>
      <x:c r="C81" s="32"/>
    </x:row>
    <x:row r="82">
      <x:c r="A82" s="32"/>
      <x:c r="B82" s="32"/>
      <x:c r="C82" s="32"/>
    </x:row>
    <x:row r="83">
      <x:c r="A83" s="32"/>
      <x:c r="B83" s="32"/>
      <x:c r="C83" s="32"/>
    </x:row>
    <x:row r="84">
      <x:c r="A84" s="32"/>
      <x:c r="B84" s="32"/>
      <x:c r="C84" s="32"/>
    </x:row>
    <x:row r="85">
      <x:c r="A85" s="32"/>
      <x:c r="B85" s="32"/>
      <x:c r="C85" s="32"/>
    </x:row>
    <x:row r="86">
      <x:c r="A86" s="32"/>
      <x:c r="B86" s="32"/>
      <x:c r="C86" s="32"/>
    </x:row>
    <x:row r="87">
      <x:c r="A87" s="32"/>
      <x:c r="B87" s="32"/>
      <x:c r="C87" s="32"/>
    </x:row>
    <x:row r="88">
      <x:c r="A88" s="32"/>
      <x:c r="B88" s="32"/>
      <x:c r="C88" s="32"/>
    </x:row>
    <x:row r="89">
      <x:c r="A89" s="32"/>
      <x:c r="B89" s="32"/>
      <x:c r="C89" s="32"/>
    </x:row>
    <x:row r="90">
      <x:c r="A90" s="32"/>
      <x:c r="B90" s="32"/>
      <x:c r="C90" s="32"/>
    </x:row>
    <x:row r="91">
      <x:c r="A91" s="32"/>
      <x:c r="B91" s="32"/>
      <x:c r="C91" s="32"/>
    </x:row>
    <x:row r="92">
      <x:c r="A92" s="32"/>
      <x:c r="B92" s="32"/>
      <x:c r="C92" s="32"/>
    </x:row>
    <x:row r="93">
      <x:c r="A93" s="32"/>
      <x:c r="B93" s="32"/>
      <x:c r="C93" s="32"/>
    </x:row>
    <x:row r="94">
      <x:c r="A94" s="32"/>
      <x:c r="B94" s="32"/>
      <x:c r="C94" s="32"/>
    </x:row>
    <x:row r="95">
      <x:c r="A95" s="32"/>
      <x:c r="B95" s="32"/>
      <x:c r="C95" s="32"/>
    </x:row>
    <x:row r="96">
      <x:c r="A96" s="32"/>
      <x:c r="B96" s="32"/>
      <x:c r="C96" s="32"/>
    </x:row>
    <x:row r="97">
      <x:c r="A97" s="32"/>
      <x:c r="B97" s="32"/>
      <x:c r="C97" s="32"/>
    </x:row>
    <x:row r="98">
      <x:c r="A98" s="32"/>
      <x:c r="B98" s="32"/>
      <x:c r="C98" s="32"/>
    </x:row>
    <x:row r="99">
      <x:c r="A99" s="32"/>
      <x:c r="B99" s="32"/>
      <x:c r="C99" s="32"/>
    </x:row>
    <x:row r="100">
      <x:c r="A100" s="32"/>
      <x:c r="B100" s="32"/>
      <x:c r="C100" s="32"/>
    </x:row>
    <x:row r="101">
      <x:c r="A101" s="32"/>
      <x:c r="B101" s="32"/>
      <x:c r="C101" s="32"/>
    </x:row>
    <x:row r="102">
      <x:c r="A102" s="32"/>
      <x:c r="B102" s="32"/>
      <x:c r="C102" s="32"/>
    </x:row>
    <x:row r="103">
      <x:c r="A103" s="32"/>
      <x:c r="B103" s="32"/>
      <x:c r="C103" s="32"/>
    </x:row>
    <x:row r="104">
      <x:c r="A104" s="32"/>
      <x:c r="B104" s="32"/>
      <x:c r="C104" s="32"/>
    </x:row>
    <x:row r="105">
      <x:c r="A105" s="32"/>
      <x:c r="B105" s="32"/>
      <x:c r="C105" s="32"/>
    </x:row>
    <x:row r="106">
      <x:c r="A106" s="32"/>
      <x:c r="B106" s="32"/>
      <x:c r="C106" s="32"/>
    </x:row>
    <x:row r="107">
      <x:c r="A107" s="32"/>
      <x:c r="B107" s="32"/>
      <x:c r="C107" s="32"/>
    </x:row>
    <x:row r="108">
      <x:c r="A108" s="32"/>
      <x:c r="B108" s="32"/>
      <x:c r="C108" s="32"/>
    </x:row>
    <x:row r="109">
      <x:c r="A109" s="32"/>
      <x:c r="B109" s="32"/>
      <x:c r="C109" s="32"/>
    </x:row>
    <x:row r="110">
      <x:c r="A110" s="32"/>
      <x:c r="B110" s="32"/>
      <x:c r="C110" s="32"/>
    </x:row>
    <x:row r="111">
      <x:c r="A111" s="32"/>
      <x:c r="B111" s="32"/>
      <x:c r="C111" s="32"/>
    </x:row>
    <x:row r="112">
      <x:c r="A112" s="32"/>
      <x:c r="B112" s="32"/>
      <x:c r="C112" s="32"/>
    </x:row>
    <x:row r="113">
      <x:c r="A113" s="32"/>
      <x:c r="B113" s="32"/>
      <x:c r="C113" s="32"/>
    </x:row>
    <x:row r="114">
      <x:c r="A114" s="32"/>
      <x:c r="B114" s="32"/>
      <x:c r="C114" s="32"/>
    </x:row>
    <x:row r="115">
      <x:c r="A115" s="32"/>
      <x:c r="B115" s="32"/>
      <x:c r="C115" s="32"/>
    </x:row>
    <x:row r="116">
      <x:c r="A116" s="32"/>
      <x:c r="B116" s="32"/>
      <x:c r="C116" s="32"/>
    </x:row>
    <x:row r="117">
      <x:c r="A117" s="32"/>
      <x:c r="B117" s="32"/>
      <x:c r="C117" s="32"/>
    </x:row>
    <x:row r="118">
      <x:c r="A118" s="32"/>
      <x:c r="B118" s="32"/>
      <x:c r="C118" s="32"/>
    </x:row>
    <x:row r="119">
      <x:c r="A119" s="32"/>
      <x:c r="B119" s="32"/>
      <x:c r="C119" s="32"/>
    </x:row>
    <x:row r="120">
      <x:c r="A120" s="32"/>
      <x:c r="B120" s="32"/>
      <x:c r="C120" s="32"/>
    </x:row>
    <x:row r="121">
      <x:c r="A121" s="32"/>
      <x:c r="B121" s="32"/>
      <x:c r="C121" s="32"/>
    </x:row>
    <x:row r="122">
      <x:c r="A122" s="32"/>
      <x:c r="B122" s="32"/>
      <x:c r="C122" s="32"/>
    </x:row>
    <x:row r="123">
      <x:c r="A123" s="32"/>
      <x:c r="B123" s="32"/>
      <x:c r="C123" s="32"/>
    </x:row>
    <x:row r="124">
      <x:c r="A124" s="32"/>
      <x:c r="B124" s="32"/>
      <x:c r="C124" s="32"/>
    </x:row>
    <x:row r="125">
      <x:c r="A125" s="32"/>
      <x:c r="B125" s="32"/>
      <x:c r="C125" s="32"/>
    </x:row>
    <x:row r="126">
      <x:c r="A126" s="32"/>
      <x:c r="B126" s="32"/>
      <x:c r="C126" s="32"/>
    </x:row>
    <x:row r="127">
      <x:c r="A127" s="32"/>
      <x:c r="B127" s="32"/>
      <x:c r="C127" s="32"/>
    </x:row>
    <x:row r="128">
      <x:c r="A128" s="32"/>
      <x:c r="B128" s="32"/>
      <x:c r="C128" s="32"/>
    </x:row>
    <x:row r="129">
      <x:c r="A129" s="32"/>
      <x:c r="B129" s="32"/>
      <x:c r="C129" s="32"/>
    </x:row>
    <x:row r="130">
      <x:c r="A130" s="32"/>
      <x:c r="B130" s="32"/>
      <x:c r="C130" s="32"/>
    </x:row>
    <x:row r="131">
      <x:c r="A131" s="32"/>
      <x:c r="B131" s="32"/>
      <x:c r="C131" s="32"/>
    </x:row>
    <x:row r="132">
      <x:c r="A132" s="32"/>
      <x:c r="B132" s="32"/>
      <x:c r="C132" s="32"/>
    </x:row>
    <x:row r="133">
      <x:c r="A133" s="32"/>
      <x:c r="B133" s="32"/>
      <x:c r="C133" s="32"/>
    </x:row>
    <x:row r="134">
      <x:c r="A134" s="32"/>
      <x:c r="B134" s="32"/>
      <x:c r="C134" s="32"/>
    </x:row>
    <x:row r="135">
      <x:c r="A135" s="32"/>
      <x:c r="B135" s="32"/>
      <x:c r="C135" s="32"/>
    </x:row>
    <x:row r="136">
      <x:c r="A136" s="32"/>
      <x:c r="B136" s="32"/>
      <x:c r="C136" s="32"/>
    </x:row>
    <x:row r="137">
      <x:c r="A137" s="32"/>
      <x:c r="B137" s="32"/>
      <x:c r="C137" s="32"/>
    </x:row>
    <x:row r="138">
      <x:c r="A138" s="32"/>
      <x:c r="B138" s="32"/>
      <x:c r="C138" s="32"/>
    </x:row>
    <x:row r="139">
      <x:c r="A139" s="32"/>
      <x:c r="B139" s="32"/>
      <x:c r="C139" s="32"/>
    </x:row>
    <x:row r="140">
      <x:c r="A140" s="32"/>
      <x:c r="B140" s="32"/>
      <x:c r="C140" s="32"/>
    </x:row>
    <x:row r="141">
      <x:c r="A141" s="32"/>
      <x:c r="B141" s="32"/>
      <x:c r="C141" s="32"/>
    </x:row>
    <x:row r="142">
      <x:c r="A142" s="32"/>
      <x:c r="B142" s="32"/>
      <x:c r="C142" s="32"/>
    </x:row>
    <x:row r="143">
      <x:c r="A143" s="32"/>
      <x:c r="B143" s="32"/>
      <x:c r="C143" s="32"/>
    </x:row>
    <x:row r="144">
      <x:c r="A144" s="32"/>
      <x:c r="B144" s="32"/>
      <x:c r="C144" s="32"/>
    </x:row>
    <x:row r="145">
      <x:c r="A145" s="32"/>
      <x:c r="B145" s="32"/>
      <x:c r="C145" s="32"/>
    </x:row>
    <x:row r="146">
      <x:c r="A146" s="32"/>
      <x:c r="B146" s="32"/>
      <x:c r="C146" s="32"/>
    </x:row>
    <x:row r="147">
      <x:c r="A147" s="32"/>
      <x:c r="B147" s="32"/>
      <x:c r="C147" s="32"/>
    </x:row>
    <x:row r="148">
      <x:c r="A148" s="32"/>
      <x:c r="B148" s="32"/>
      <x:c r="C148" s="32"/>
    </x:row>
    <x:row r="149">
      <x:c r="A149" s="32"/>
      <x:c r="B149" s="32"/>
      <x:c r="C149" s="32"/>
    </x:row>
    <x:row r="150">
      <x:c r="A150" s="32"/>
      <x:c r="B150" s="32"/>
      <x:c r="C150" s="32"/>
    </x:row>
    <x:row r="151">
      <x:c r="A151" s="32"/>
      <x:c r="B151" s="32"/>
      <x:c r="C151" s="32"/>
    </x:row>
    <x:row r="152">
      <x:c r="A152" s="32"/>
      <x:c r="B152" s="32"/>
      <x:c r="C152" s="32"/>
    </x:row>
    <x:row r="153">
      <x:c r="A153" s="32"/>
      <x:c r="B153" s="32"/>
      <x:c r="C153" s="32"/>
    </x:row>
    <x:row r="154">
      <x:c r="A154" s="32"/>
      <x:c r="B154" s="32"/>
      <x:c r="C154" s="32"/>
    </x:row>
    <x:row r="155">
      <x:c r="A155" s="32"/>
      <x:c r="B155" s="32"/>
      <x:c r="C155" s="32"/>
    </x:row>
    <x:row r="156">
      <x:c r="A156" s="32"/>
      <x:c r="B156" s="32"/>
      <x:c r="C156" s="32"/>
    </x:row>
    <x:row r="157">
      <x:c r="A157" s="32"/>
      <x:c r="B157" s="32"/>
      <x:c r="C157" s="32"/>
    </x:row>
    <x:row r="158">
      <x:c r="A158" s="32"/>
      <x:c r="B158" s="32"/>
      <x:c r="C158" s="32"/>
    </x:row>
    <x:row r="159">
      <x:c r="A159" s="32"/>
      <x:c r="B159" s="32"/>
      <x:c r="C159" s="32"/>
    </x:row>
    <x:row r="160">
      <x:c r="A160" s="32"/>
      <x:c r="B160" s="32"/>
      <x:c r="C160" s="32"/>
    </x:row>
    <x:row r="161">
      <x:c r="A161" s="32"/>
      <x:c r="B161" s="32"/>
      <x:c r="C161" s="32"/>
    </x:row>
    <x:row r="162">
      <x:c r="A162" s="32"/>
      <x:c r="B162" s="32"/>
      <x:c r="C162" s="32"/>
    </x:row>
    <x:row r="163">
      <x:c r="A163" s="32"/>
      <x:c r="B163" s="32"/>
      <x:c r="C163" s="32"/>
    </x:row>
    <x:row r="164">
      <x:c r="A164" s="32"/>
      <x:c r="B164" s="32"/>
      <x:c r="C164" s="32"/>
    </x:row>
    <x:row r="165">
      <x:c r="A165" s="32"/>
      <x:c r="B165" s="32"/>
      <x:c r="C165" s="32"/>
    </x:row>
    <x:row r="166">
      <x:c r="A166" s="32"/>
      <x:c r="B166" s="32"/>
      <x:c r="C166" s="32"/>
    </x:row>
    <x:row r="167">
      <x:c r="A167" s="32"/>
      <x:c r="B167" s="32"/>
      <x:c r="C167" s="32"/>
    </x:row>
    <x:row r="168">
      <x:c r="A168" s="32"/>
      <x:c r="B168" s="32"/>
      <x:c r="C168" s="32"/>
    </x:row>
    <x:row r="169">
      <x:c r="A169" s="32"/>
      <x:c r="B169" s="32"/>
      <x:c r="C169" s="32"/>
    </x:row>
    <x:row r="170">
      <x:c r="A170" s="32"/>
      <x:c r="B170" s="32"/>
      <x:c r="C170" s="32"/>
    </x:row>
    <x:row r="171">
      <x:c r="A171" s="32"/>
      <x:c r="B171" s="32"/>
      <x:c r="C171" s="32"/>
    </x:row>
    <x:row r="172">
      <x:c r="A172" s="32"/>
      <x:c r="B172" s="32"/>
      <x:c r="C172" s="32"/>
    </x:row>
    <x:row r="173">
      <x:c r="A173" s="32"/>
      <x:c r="B173" s="32"/>
      <x:c r="C173" s="32"/>
    </x:row>
    <x:row r="174">
      <x:c r="A174" s="32"/>
      <x:c r="B174" s="32"/>
      <x:c r="C174" s="32"/>
    </x:row>
    <x:row r="175">
      <x:c r="A175" s="32"/>
      <x:c r="B175" s="32"/>
      <x:c r="C175" s="32"/>
    </x:row>
    <x:row r="176">
      <x:c r="A176" s="32"/>
      <x:c r="B176" s="32"/>
      <x:c r="C176" s="32"/>
    </x:row>
    <x:row r="177">
      <x:c r="A177" s="32"/>
      <x:c r="B177" s="32"/>
      <x:c r="C177" s="32"/>
    </x:row>
    <x:row r="178">
      <x:c r="A178" s="32"/>
      <x:c r="B178" s="32"/>
      <x:c r="C178" s="32"/>
    </x:row>
    <x:row r="179">
      <x:c r="A179" s="32"/>
      <x:c r="B179" s="32"/>
      <x:c r="C179" s="32"/>
    </x:row>
    <x:row r="180">
      <x:c r="A180" s="32"/>
      <x:c r="B180" s="32"/>
      <x:c r="C180" s="32"/>
    </x:row>
    <x:row r="181">
      <x:c r="A181" s="32"/>
      <x:c r="B181" s="32"/>
      <x:c r="C181" s="32"/>
    </x:row>
    <x:row r="182">
      <x:c r="A182" s="32"/>
      <x:c r="B182" s="32"/>
      <x:c r="C182" s="32"/>
    </x:row>
    <x:row r="183">
      <x:c r="A183" s="32"/>
      <x:c r="B183" s="32"/>
      <x:c r="C183" s="32"/>
    </x:row>
    <x:row r="184">
      <x:c r="A184" s="32"/>
      <x:c r="B184" s="32"/>
      <x:c r="C184" s="32"/>
    </x:row>
    <x:row r="185">
      <x:c r="A185" s="32"/>
      <x:c r="B185" s="32"/>
      <x:c r="C185" s="32"/>
    </x:row>
    <x:row r="186">
      <x:c r="A186" s="32"/>
      <x:c r="B186" s="32"/>
      <x:c r="C186" s="32"/>
    </x:row>
    <x:row r="187">
      <x:c r="A187" s="32"/>
      <x:c r="B187" s="32"/>
      <x:c r="C187" s="32"/>
    </x:row>
    <x:row r="188">
      <x:c r="A188" s="32"/>
      <x:c r="B188" s="32"/>
      <x:c r="C188" s="32"/>
    </x:row>
    <x:row r="189">
      <x:c r="A189" s="32"/>
      <x:c r="B189" s="32"/>
      <x:c r="C189" s="32"/>
    </x:row>
    <x:row r="190">
      <x:c r="A190" s="32"/>
      <x:c r="B190" s="32"/>
      <x:c r="C190" s="32"/>
    </x:row>
    <x:row r="191">
      <x:c r="A191" s="32"/>
      <x:c r="B191" s="32"/>
      <x:c r="C191" s="32"/>
    </x:row>
    <x:row r="192">
      <x:c r="A192" s="32"/>
      <x:c r="B192" s="32"/>
      <x:c r="C192" s="32"/>
    </x:row>
    <x:row r="193">
      <x:c r="A193" s="32"/>
      <x:c r="B193" s="32"/>
      <x:c r="C193" s="32"/>
    </x:row>
    <x:row r="194">
      <x:c r="A194" s="32"/>
      <x:c r="B194" s="32"/>
      <x:c r="C194" s="32"/>
    </x:row>
    <x:row r="195">
      <x:c r="A195" s="32"/>
      <x:c r="B195" s="32"/>
      <x:c r="C195" s="32"/>
    </x:row>
    <x:row r="196">
      <x:c r="A196" s="32"/>
      <x:c r="B196" s="32"/>
      <x:c r="C196" s="32"/>
    </x:row>
    <x:row r="197">
      <x:c r="A197" s="32"/>
      <x:c r="B197" s="32"/>
      <x:c r="C197" s="32"/>
    </x:row>
    <x:row r="198">
      <x:c r="A198" s="32"/>
      <x:c r="B198" s="32"/>
      <x:c r="C198" s="32"/>
    </x:row>
    <x:row r="199">
      <x:c r="A199" s="32"/>
      <x:c r="B199" s="32"/>
      <x:c r="C199" s="32"/>
    </x:row>
    <x:row r="200">
      <x:c r="A200" s="32"/>
      <x:c r="B200" s="32"/>
      <x:c r="C200" s="32"/>
    </x:row>
    <x:row r="201">
      <x:c r="A201" s="32"/>
      <x:c r="B201" s="32"/>
      <x:c r="C201" s="32"/>
    </x:row>
    <x:row r="202">
      <x:c r="A202" s="32"/>
      <x:c r="B202" s="32"/>
      <x:c r="C202" s="32"/>
    </x:row>
    <x:row r="203">
      <x:c r="A203" s="32"/>
      <x:c r="B203" s="32"/>
      <x:c r="C203" s="32"/>
    </x:row>
    <x:row r="204">
      <x:c r="A204" s="32"/>
      <x:c r="B204" s="32"/>
      <x:c r="C204" s="32"/>
    </x:row>
  </x:sheetData>
  <x:mergeCells>
    <x:mergeCell ref="A1:C1"/>
    <x:mergeCell ref="A2:C2"/>
  </x:mergeCells>
  <x:pageMargins left="0.7" right="0.7" top="0.75" bottom="0.75" header="0.3" footer="0.3"/>
</x:worksheet>
</file>